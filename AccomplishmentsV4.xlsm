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CD6EB6FA-4DEF-734A-B565-D73F012A8D3F}" xr6:coauthVersionLast="45" xr6:coauthVersionMax="45" xr10:uidLastSave="{00000000-0000-0000-0000-000000000000}"/>
  <bookViews>
    <workbookView xWindow="-29560" yWindow="-1340" windowWidth="28800" windowHeight="1754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DayLookup">Lookup!$A$1:$B$8</definedName>
    <definedName name="Summary">SummaryData!$A$2:$E$39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5" l="1"/>
  <c r="B6" i="5"/>
  <c r="B7" i="5"/>
  <c r="B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L2" i="5"/>
  <c r="D8" i="5"/>
  <c r="E8" i="5"/>
  <c r="D7" i="5"/>
  <c r="E7" i="5"/>
  <c r="D6" i="5"/>
  <c r="E6" i="5"/>
  <c r="D5" i="5"/>
  <c r="E5" i="5"/>
  <c r="C6" i="5"/>
  <c r="C5" i="5"/>
  <c r="D4" i="5"/>
  <c r="C4" i="5"/>
  <c r="D3" i="5"/>
  <c r="C3" i="5"/>
  <c r="D2" i="5"/>
  <c r="C2" i="5"/>
  <c r="D18" i="5"/>
  <c r="D17" i="5"/>
  <c r="D16" i="5"/>
  <c r="D15" i="5"/>
  <c r="D14" i="5"/>
  <c r="D13" i="5"/>
  <c r="D12" i="5"/>
  <c r="D11" i="5"/>
  <c r="D10" i="5"/>
  <c r="D9" i="5"/>
  <c r="C8" i="5"/>
  <c r="C7" i="5"/>
  <c r="E2" i="5"/>
  <c r="E3" i="5"/>
  <c r="E4" i="5"/>
  <c r="P2" i="5"/>
  <c r="O2" i="5"/>
  <c r="E9" i="5"/>
  <c r="E10" i="5"/>
  <c r="E11" i="5"/>
  <c r="E12" i="5"/>
  <c r="E13" i="5"/>
  <c r="E14" i="5"/>
  <c r="E15" i="5"/>
  <c r="E16" i="5"/>
  <c r="E17" i="5"/>
  <c r="E18" i="5"/>
  <c r="N2" i="5"/>
  <c r="M2" i="5"/>
  <c r="F18" i="5"/>
  <c r="F17" i="5"/>
  <c r="F16" i="5"/>
  <c r="F15" i="5"/>
  <c r="F14" i="5"/>
  <c r="F13" i="5"/>
  <c r="F12" i="5"/>
  <c r="F11" i="5"/>
  <c r="F10" i="5"/>
  <c r="F7" i="5"/>
  <c r="F6" i="5"/>
  <c r="F5" i="5"/>
  <c r="F4" i="5"/>
  <c r="F3" i="5"/>
  <c r="F2" i="5"/>
  <c r="F8" i="5"/>
  <c r="F9" i="5"/>
  <c r="A9" i="5"/>
  <c r="A8" i="5"/>
  <c r="A6" i="5"/>
  <c r="A7" i="5"/>
  <c r="A10" i="5"/>
  <c r="A11" i="5"/>
  <c r="A12" i="5"/>
  <c r="A13" i="5"/>
  <c r="A14" i="5"/>
  <c r="A15" i="5"/>
  <c r="A16" i="5"/>
  <c r="A17" i="5"/>
  <c r="A18" i="5"/>
  <c r="A5" i="5"/>
  <c r="J1" i="5"/>
  <c r="H1" i="5"/>
</calcChain>
</file>

<file path=xl/sharedStrings.xml><?xml version="1.0" encoding="utf-8"?>
<sst xmlns="http://schemas.openxmlformats.org/spreadsheetml/2006/main" count="1461" uniqueCount="750">
  <si>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</si>
  <si>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</si>
  <si>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</si>
  <si>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</si>
  <si>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</si>
  <si>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</si>
  <si>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</si>
  <si>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</si>
  <si>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</si>
  <si>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Find new Meetup Groups e.g. Startups, Renewable Energy</t>
  </si>
  <si>
    <t>[ ] Ask Ana about Walt Whitman book</t>
  </si>
  <si>
    <t>[ ] Go to Guggenheim with Chase Arts &amp; Culture</t>
  </si>
  <si>
    <t>[ ] Plan Governors Island trip</t>
  </si>
  <si>
    <t>[ ] Plan dinner with Farleys</t>
  </si>
  <si>
    <t>[ ] Return Wells Fargo Safe Deposit Box Key</t>
  </si>
  <si>
    <t>[ ] Write to Language Professor about roididoi</t>
  </si>
  <si>
    <t>[ ] See Riverbank State Park</t>
  </si>
  <si>
    <t>[ ] See Grant‚Äôs Tomb (Wednesday to Saturday)</t>
  </si>
  <si>
    <t>Soon</t>
  </si>
  <si>
    <t>[ ] Arrange for Mother‚Äôs hearing doctor</t>
  </si>
  <si>
    <t>[ ] Look for Watermark parts</t>
  </si>
  <si>
    <t>[ ] Read Lourdes‚Äô articles on estate finance</t>
  </si>
  <si>
    <t>[ ] Find someone to strip tub</t>
  </si>
  <si>
    <t>[ ] Inventory spices</t>
  </si>
  <si>
    <t>[ ] Research wireless thermostat</t>
  </si>
  <si>
    <t>[ ] Try to sell Mother‚Äôs surplus German Kitchen stuff</t>
  </si>
  <si>
    <t>[ ] Tie up Mother‚Äôs television cords</t>
  </si>
  <si>
    <t>[ ] Tie up our television cords</t>
  </si>
  <si>
    <t>[ ] Get Mother‚Äôs Weill Cornell account set up</t>
  </si>
  <si>
    <t>[ ] Start Reading Accounting Book</t>
  </si>
  <si>
    <t>[ ] Fix shirt button</t>
  </si>
  <si>
    <t>[ ] Transfer Mother‚Äôs hearing aid records</t>
  </si>
  <si>
    <t>[ ] Order The Week for Mother</t>
  </si>
  <si>
    <t>[ ] Polish copper milk steamers</t>
  </si>
  <si>
    <t>[ ] Get credit for Bullfighting Speech on Toastmasters website</t>
  </si>
  <si>
    <t>[ ] Practice with portable bicycle pump</t>
  </si>
  <si>
    <t>Next</t>
  </si>
  <si>
    <t>[ ] Contact Cee Bunevich</t>
  </si>
  <si>
    <t>[ ] Complete Mother's Voter Registration</t>
  </si>
  <si>
    <t>[ ] Take picture of Amanda</t>
  </si>
  <si>
    <t>[ ] Send Ana her school records</t>
  </si>
  <si>
    <t>[ ] Organize Black Cabinet drawer</t>
  </si>
  <si>
    <t>[ ] Find out about DR lawyers</t>
  </si>
  <si>
    <t>[ ] Get connected on LinkedIn with Columbia course people</t>
  </si>
  <si>
    <t>[ ] Clean behind stove</t>
  </si>
  <si>
    <t>Daily</t>
  </si>
  <si>
    <t>[ ] Yoga</t>
  </si>
  <si>
    <t>[ ] Exercise</t>
  </si>
  <si>
    <t>[ ] Meditate</t>
  </si>
  <si>
    <t>[ ] Progress on Python Machine Learning</t>
  </si>
  <si>
    <t>[ ] Practice speed reading</t>
  </si>
  <si>
    <t>[ ] Write in Journal</t>
  </si>
  <si>
    <t>[x] Yoga</t>
  </si>
  <si>
    <t>[x] Exercise</t>
  </si>
  <si>
    <t>[x] Meditate</t>
  </si>
  <si>
    <t>[ ] Clean and put away Sewing Machine</t>
  </si>
  <si>
    <t>[ ] Connect with Columbia people on LinkedIn</t>
  </si>
  <si>
    <t>[ ] Try to clean closet nick</t>
  </si>
  <si>
    <t>[x] Write in Journal</t>
  </si>
  <si>
    <t>[x] Practice speed reading</t>
  </si>
  <si>
    <t>[x] Start Module 4</t>
  </si>
  <si>
    <t>[x] Grind coffee</t>
  </si>
  <si>
    <t>[x] Wash CPAP Mask</t>
  </si>
  <si>
    <t>Done</t>
  </si>
  <si>
    <t>Category</t>
  </si>
  <si>
    <t>ToDo</t>
  </si>
  <si>
    <t>Total ToDo:</t>
  </si>
  <si>
    <t>Total Done:</t>
  </si>
  <si>
    <t>8/17/2020 Monday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</si>
  <si>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</si>
  <si>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</si>
  <si>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</si>
  <si>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</si>
  <si>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</si>
  <si>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</si>
  <si>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</si>
  <si>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</si>
  <si>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</si>
  <si>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</si>
  <si>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</si>
  <si>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Find new Meetup Groups e.g. Startups, Renewable Energy</t>
  </si>
  <si>
    <t>Ask Ana about Walt Whitman book</t>
  </si>
  <si>
    <t>Go to Guggenheim with Chase Arts &amp; Culture</t>
  </si>
  <si>
    <t>Plan Governors Island trip</t>
  </si>
  <si>
    <t>Plan dinner with Farleys</t>
  </si>
  <si>
    <t>Return Wells Fargo Safe Deposit Box Key</t>
  </si>
  <si>
    <t>Write to Language Professor about roididoi</t>
  </si>
  <si>
    <t>See Riverbank State Park</t>
  </si>
  <si>
    <t>See Grant‚Äôs Tomb (Wednesday to Saturday)</t>
  </si>
  <si>
    <t>Arrange for Mother‚Äôs hearing doctor</t>
  </si>
  <si>
    <t>Look for Watermark parts</t>
  </si>
  <si>
    <t>Read Lourdes‚Äô articles on estate finance</t>
  </si>
  <si>
    <t>Find someone to strip tub</t>
  </si>
  <si>
    <t>Inventory spices</t>
  </si>
  <si>
    <t>Research wireless thermostat</t>
  </si>
  <si>
    <t>Try to sell Mother‚Äôs surplus German Kitchen stuff</t>
  </si>
  <si>
    <t>Tie up Mother‚Äôs television cords</t>
  </si>
  <si>
    <t>Tie up our television cords</t>
  </si>
  <si>
    <t>Get Mother‚Äôs Weill Cornell account set up</t>
  </si>
  <si>
    <t>Start Reading Accounting Book</t>
  </si>
  <si>
    <t>Fix shirt button</t>
  </si>
  <si>
    <t>Transfer Mother‚Äôs hearing aid records</t>
  </si>
  <si>
    <t>Order The Week for Mother</t>
  </si>
  <si>
    <t>Polish copper milk steamers</t>
  </si>
  <si>
    <t>Get credit for Bullfighting Speech on Toastmasters website</t>
  </si>
  <si>
    <t>Practice with portable bicycle pump</t>
  </si>
  <si>
    <t>[x] Work on Accomplishments Spreadsheet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</si>
  <si>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</si>
  <si>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</si>
  <si>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</si>
  <si>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</si>
  <si>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</si>
  <si>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</si>
  <si>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</si>
  <si>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</si>
  <si>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[x] Look for street repair listings</t>
  </si>
  <si>
    <t>8/19/2020 Wednesday</t>
  </si>
  <si>
    <t>8/18/2020 Tuesday</t>
  </si>
  <si>
    <t>[ ] Make print of Bloomberg picture</t>
  </si>
  <si>
    <t>8/21/2020 Friday</t>
  </si>
  <si>
    <t>[ ] Cancel Mother‚Äôs Citibank MasterCard</t>
  </si>
  <si>
    <t>[ ] Finish Wrestlers Exercise</t>
  </si>
  <si>
    <t>8/20/2020 Thursday</t>
  </si>
  <si>
    <t>[x] Check bike light batteries</t>
  </si>
  <si>
    <t>[x] Look up LittleIsland.org</t>
  </si>
  <si>
    <t>[x] Figure out worth of Savings Bonds</t>
  </si>
  <si>
    <t>[x] Request to delete Mint account</t>
  </si>
  <si>
    <t>[x] Find alternative to Fish pose</t>
  </si>
  <si>
    <t>[x] Make dental appointment for Mother</t>
  </si>
  <si>
    <t>[x] Get check for Ana</t>
  </si>
  <si>
    <t>[x] Do Data Analytics Course Work</t>
  </si>
  <si>
    <t>[x] Arrange for earbud return</t>
  </si>
  <si>
    <t>[x] Organize/Review pants</t>
  </si>
  <si>
    <t>[x] Organize/Sort Socks</t>
  </si>
  <si>
    <t>[x] Return earbuds</t>
  </si>
  <si>
    <t>[x] Go on shopping trip</t>
  </si>
  <si>
    <t>[x] Input shopping trip destinations/plan itinerary</t>
  </si>
  <si>
    <t>8/16/2020 Sunday</t>
  </si>
  <si>
    <t>[x] Review Yoga month and next program</t>
  </si>
  <si>
    <t>[x] Call Hertz about closing time on Tuesday</t>
  </si>
  <si>
    <t>[x] Try changing Hertz drop-off</t>
  </si>
  <si>
    <t>[x] Finish Data Analytics Challenge</t>
  </si>
  <si>
    <t>8/15/2020 Saturday</t>
  </si>
  <si>
    <t>[x] Go on Zabars shopping expedition</t>
  </si>
  <si>
    <t>[x] Find out Leel warrantee</t>
  </si>
  <si>
    <t>[x] Get Jupyter Notebooks to work from non-GitHub directory</t>
  </si>
  <si>
    <t>[x] Start working on Challenge</t>
  </si>
  <si>
    <t>8/14/2020 Friday</t>
  </si>
  <si>
    <t>[x] Do Laundry - wash sneakers and sports mask</t>
  </si>
  <si>
    <t>[x] Practice Programming</t>
  </si>
  <si>
    <t>[x] Reserve Car for the 18th</t>
  </si>
  <si>
    <t>[x] Solve class groupby problem</t>
  </si>
  <si>
    <t>[x] Clean Toaster</t>
  </si>
  <si>
    <t>[x] Work on Contact Tracing Course</t>
  </si>
  <si>
    <t>[x] Arrange for dinner</t>
  </si>
  <si>
    <t>[x] Progress on Python Machine Learning</t>
  </si>
  <si>
    <t>Make print of Bloomberg picture</t>
  </si>
  <si>
    <t>WeekDay</t>
  </si>
  <si>
    <t>Date</t>
  </si>
  <si>
    <t>[ ] Organize Glove Drawer</t>
  </si>
  <si>
    <t>[ ] Finish Deleting Mint Account</t>
  </si>
  <si>
    <t>[ ] Talk to Mr. Lynch about wall repairs</t>
  </si>
  <si>
    <t>Document Bridges</t>
  </si>
  <si>
    <t>Scan pictures for Craig</t>
  </si>
  <si>
    <t>Contact Cee Bunevich</t>
  </si>
  <si>
    <t>Complete Mother's Voter Registration</t>
  </si>
  <si>
    <t>Take picture of Amanda</t>
  </si>
  <si>
    <t>Send Ana her school records</t>
  </si>
  <si>
    <t>Organize Black Cabinet drawer</t>
  </si>
  <si>
    <t>Find out about DR lawyers</t>
  </si>
  <si>
    <t>Get connected on LinkedIn with Columbia course people</t>
  </si>
  <si>
    <t>Clean behind stove</t>
  </si>
  <si>
    <t>Get rid of Mother‚Äôs bad jeans</t>
  </si>
  <si>
    <t>Clean and put away Sewing Machine</t>
  </si>
  <si>
    <t>Finish Accomplishments spreadsheet</t>
  </si>
  <si>
    <t>Yoga</t>
  </si>
  <si>
    <t>Exercise</t>
  </si>
  <si>
    <t>Meditate</t>
  </si>
  <si>
    <t>Do Data Analytics Course Work</t>
  </si>
  <si>
    <t>Progress on Python Machine Learning</t>
  </si>
  <si>
    <t>Work on Contact Tracing Course</t>
  </si>
  <si>
    <t>Practice speed reading</t>
  </si>
  <si>
    <t>Write in Journal</t>
  </si>
  <si>
    <t>Do Laundry</t>
  </si>
  <si>
    <t>Wash Masks</t>
  </si>
  <si>
    <t>Wash Bicycle Bag and contents</t>
  </si>
  <si>
    <t>Finish Deleting Mint Account</t>
  </si>
  <si>
    <t>Sign up for Career Connections session</t>
  </si>
  <si>
    <t>Talk to Mr. Lynch about wall repairs</t>
  </si>
  <si>
    <t>Vacuum under refridgerator</t>
  </si>
  <si>
    <t>Check Toastmasters Educational Progress</t>
  </si>
  <si>
    <t>Organize Glove Drawer</t>
  </si>
  <si>
    <t>Tell Mother about Rab's message</t>
  </si>
  <si>
    <t>Cancel Mother‚Äôs Citibank MasterCard</t>
  </si>
  <si>
    <t>Connect with Columbia people on LinkedIn</t>
  </si>
  <si>
    <t>Finish Wrestlers Exercise</t>
  </si>
  <si>
    <t>Try to clean closet nick</t>
  </si>
  <si>
    <t>Check bike light batteries</t>
  </si>
  <si>
    <t>Look up LittleIsland.org</t>
  </si>
  <si>
    <t>Figure out worth of Savings Bonds</t>
  </si>
  <si>
    <t>Request to delete Mint account</t>
  </si>
  <si>
    <t>Find alternative to Fish pose</t>
  </si>
  <si>
    <t>Make dental appointment for Mother</t>
  </si>
  <si>
    <t>Get check for Ana</t>
  </si>
  <si>
    <t>Arrange for earbud return</t>
  </si>
  <si>
    <t>Organize/Review pants</t>
  </si>
  <si>
    <t>Organize/Sort Socks</t>
  </si>
  <si>
    <t>Return earbuds</t>
  </si>
  <si>
    <t>Go on shopping trip</t>
  </si>
  <si>
    <t>Work on Accomplishments Spreadsheet</t>
  </si>
  <si>
    <t>Look for street repair listings</t>
  </si>
  <si>
    <t>Start Module 4</t>
  </si>
  <si>
    <t>Input shopping trip destinations/plan itinerary</t>
  </si>
  <si>
    <t>Review Yoga month and next program</t>
  </si>
  <si>
    <t>Call Hertz about closing time on Tuesday</t>
  </si>
  <si>
    <t>Try changing Hertz drop-off</t>
  </si>
  <si>
    <t>Finish Data Analytics Challenge</t>
  </si>
  <si>
    <t>Wash CPAP Mask</t>
  </si>
  <si>
    <t>Go on Zabars shopping expedition</t>
  </si>
  <si>
    <t>Find out Leel warrantee</t>
  </si>
  <si>
    <t>Grind coffee</t>
  </si>
  <si>
    <t>Get Jupyter Notebooks to work from non-GitHub directory</t>
  </si>
  <si>
    <t>Start working on Challenge</t>
  </si>
  <si>
    <t>Do Laundry - wash sneakers and sports mask</t>
  </si>
  <si>
    <t>Practice Programming</t>
  </si>
  <si>
    <t>Reserve Car for the 18th</t>
  </si>
  <si>
    <t>Solve class groupby problem</t>
  </si>
  <si>
    <t>Clean Toaster</t>
  </si>
  <si>
    <t>Arrange for dinner</t>
  </si>
  <si>
    <t>8/24/2020 Monday</t>
  </si>
  <si>
    <t>8/22/2020 Saturday</t>
  </si>
  <si>
    <t>[x] Do Laundry</t>
  </si>
  <si>
    <t>[x] Wash Masks</t>
  </si>
  <si>
    <t>[x] Wash Bicycle Bag and contents</t>
  </si>
  <si>
    <t>[x] Investigate Excel Macro slowdown</t>
  </si>
  <si>
    <t>[x] Sign up for Career Connections session</t>
  </si>
  <si>
    <t>[x] Check Toastmasters Educational Progress</t>
  </si>
  <si>
    <t>[x] Drop out of Contract Tracing class</t>
  </si>
  <si>
    <t>[x] Join Alumni Society Slack</t>
  </si>
  <si>
    <t>Get Mother's pants altered</t>
  </si>
  <si>
    <t>Investigate Excel Macro slowdown</t>
  </si>
  <si>
    <t>Drop out of Contract Tracing class</t>
  </si>
  <si>
    <t>Join Alumni Society Slack</t>
  </si>
  <si>
    <t>[ ] Cash Savings Bonds - September 2022</t>
  </si>
  <si>
    <t>8/23/2020 Sunday</t>
  </si>
  <si>
    <t>[x] Finish Accomplishments spreadsheet</t>
  </si>
  <si>
    <t>[x] Distribute Medicine</t>
  </si>
  <si>
    <t>[x] Sanitize CPAP machine</t>
  </si>
  <si>
    <t>[x] Get chicken thighs</t>
  </si>
  <si>
    <t>[x] Scan Pictures</t>
  </si>
  <si>
    <t>[x] Make Basmati Rice</t>
  </si>
  <si>
    <t>[x] Tell Mother about Rab's message</t>
  </si>
  <si>
    <t>[x] Get MLB TV package for Mother</t>
  </si>
  <si>
    <t>[x] Start Political Contributions spreadsheet</t>
  </si>
  <si>
    <t>Cash Savings Bonds - September 2022</t>
  </si>
  <si>
    <t>Clean Bathroom</t>
  </si>
  <si>
    <t>Scan rest of Core pictures</t>
  </si>
  <si>
    <t>Oil new table</t>
  </si>
  <si>
    <t>Distribute Medicine</t>
  </si>
  <si>
    <t>Sanitize CPAP machine</t>
  </si>
  <si>
    <t>Get chicken thighs</t>
  </si>
  <si>
    <t>Scan Pictures</t>
  </si>
  <si>
    <t>Make Basmati Rice</t>
  </si>
  <si>
    <t>Get MLB TV package for Mother</t>
  </si>
  <si>
    <t>Start Political Contributions spreadsheet</t>
  </si>
  <si>
    <t>[ ] Tell Lukasz about glass shelf</t>
  </si>
  <si>
    <t>[x] Complete Accomplishments spreadsheet with Button</t>
  </si>
  <si>
    <t>[x] Add pivot table to Political Contributions spreadsheet</t>
  </si>
  <si>
    <t>[x] Research Marimekko Kortteli crossbody shoulder bag</t>
  </si>
  <si>
    <t>[x] Go on long walk with Lourdes, Amanda, and Teresa</t>
  </si>
  <si>
    <t>[x] Try to take Mother for a walk</t>
  </si>
  <si>
    <t>Tell Lukasz about glass shelf</t>
  </si>
  <si>
    <t>Look for narrow bike rack</t>
  </si>
  <si>
    <t>Complete Accomplishments spreadsheet with Button</t>
  </si>
  <si>
    <t>Add pivot table to Political Contributions spreadsheet</t>
  </si>
  <si>
    <t>Research Marimekko Kortteli crossbody shoulder bag</t>
  </si>
  <si>
    <t>Go on long walk with Lourdes, Amanda, and Teresa</t>
  </si>
  <si>
    <t>Try to take Mother for a walk</t>
  </si>
  <si>
    <t>8/25/2020 Tuesday</t>
  </si>
  <si>
    <t>[ ] Get paints for door and doorframe</t>
  </si>
  <si>
    <t>[x] Enhance Accomplishments spreadsheet</t>
  </si>
  <si>
    <t>[x] Ship box of pictures to Mar√≠a</t>
  </si>
  <si>
    <t>[x] Get Mother's pants altered</t>
  </si>
  <si>
    <t>[x] Vacuum under refridgerator</t>
  </si>
  <si>
    <t>[x] Create Suspiros calculator spreadsheet</t>
  </si>
  <si>
    <t>[x] Make suspiros</t>
  </si>
  <si>
    <t>[x] Start Module 6</t>
  </si>
  <si>
    <t>[x] Look for narrow bike rack</t>
  </si>
  <si>
    <t>[x] Purge Accomplishments file</t>
  </si>
  <si>
    <t>[x] Scan rest of Core pictures</t>
  </si>
  <si>
    <t>8/13/2020 Thursday</t>
  </si>
  <si>
    <t>[x] Finish Module 4</t>
  </si>
  <si>
    <t>[x] Upload Central Park raccoons to Facebook</t>
  </si>
  <si>
    <t>[x] Change laser printer toner</t>
  </si>
  <si>
    <t>[x] Register Brother printers</t>
  </si>
  <si>
    <t>[x] Revive tasks done spreadsheet</t>
  </si>
  <si>
    <t>[x] Attend Required Class</t>
  </si>
  <si>
    <t>[x] Look into canceling Mother‚Äôs frying pan</t>
  </si>
  <si>
    <t>[x] Figure out how to avoid string format error</t>
  </si>
  <si>
    <t>8/12/2020 Wednesday</t>
  </si>
  <si>
    <t>[x] Have Balcony Leak fixed</t>
  </si>
  <si>
    <t>[x] Investigate CVS $1.24 charge - 888-892-7227</t>
  </si>
  <si>
    <t>[x] Clean balcony drain</t>
  </si>
  <si>
    <t>[x] Clean toilet</t>
  </si>
  <si>
    <t>[x] Cut Toe Nails</t>
  </si>
  <si>
    <t>[x] Make picadillo</t>
  </si>
  <si>
    <t>8/11/2020 Tuesday</t>
  </si>
  <si>
    <t>[x] Rework Bike Trips Spreadsheet</t>
  </si>
  <si>
    <t>[x] Swap Amanda‚Äôs extension cord</t>
  </si>
  <si>
    <t>[x] Order Mother‚Äôs water filter</t>
  </si>
  <si>
    <t>[x] Review/Record installing Jupyter Notebooks</t>
  </si>
  <si>
    <t>[x] Arrange for Living Room water damage fix</t>
  </si>
  <si>
    <t>[x] Pick up Australian belt</t>
  </si>
  <si>
    <t>[x] Check CVS/Caremark charge</t>
  </si>
  <si>
    <t>[x] Register for Alumni Society Leadership Summit</t>
  </si>
  <si>
    <t>8/10/2020 Monday</t>
  </si>
  <si>
    <t>[x] Enhance Bicycle trip spreadsheet</t>
  </si>
  <si>
    <t>[x] Take Australian belt to Jim‚Äôs</t>
  </si>
  <si>
    <t>[x] Get Preserved Lemons</t>
  </si>
  <si>
    <t>[x] Work on Contact Tracing course</t>
  </si>
  <si>
    <t>8/9/2010 Sunday</t>
  </si>
  <si>
    <t>[x] Do Module 3 Career Connection</t>
  </si>
  <si>
    <t>[x] Backup computer</t>
  </si>
  <si>
    <t>[x] Progress on Covid-19 Course</t>
  </si>
  <si>
    <t>[x] Cut nails</t>
  </si>
  <si>
    <t>[x] Record bike tuneup</t>
  </si>
  <si>
    <t>[x] Clean coffeemaker</t>
  </si>
  <si>
    <t>[x] Make bike ride spreadsheet</t>
  </si>
  <si>
    <t>8/8/2020 Saturday</t>
  </si>
  <si>
    <t>[x] Check Apple remote charge</t>
  </si>
  <si>
    <t>[x] Work on Challenge Analysis</t>
  </si>
  <si>
    <t>[x] Ask Michael why there‚Äôs a dog in 29E</t>
  </si>
  <si>
    <t>[x] Complete Module 3 Challenge</t>
  </si>
  <si>
    <t>[x] Start Python Deep Learning Notes</t>
  </si>
  <si>
    <t>[x] Fix chair foot</t>
  </si>
  <si>
    <t>[x] Sand new cutting board</t>
  </si>
  <si>
    <t>8/7/2020 Friday</t>
  </si>
  <si>
    <t>[x] Preview payments</t>
  </si>
  <si>
    <t>[x] Transfer lamp payment</t>
  </si>
  <si>
    <t>[x] Register for Contact Tracing course</t>
  </si>
  <si>
    <t>[x] Start Contact Tracing course</t>
  </si>
  <si>
    <t>[x] Fix polo shirt button</t>
  </si>
  <si>
    <t>[x] Read Jimmy Page and Scarlett Sabet article</t>
  </si>
  <si>
    <t>[x] Plan Dinner</t>
  </si>
  <si>
    <t>[x] Get salmon for dinner</t>
  </si>
  <si>
    <t>[x] Sign up for Disney+</t>
  </si>
  <si>
    <t>[x] Make dinner</t>
  </si>
  <si>
    <t>[x] Look for Audible books</t>
  </si>
  <si>
    <t>[x] Look for Mila Kunis bourbon ads</t>
  </si>
  <si>
    <t>8/6/2020 Thursday</t>
  </si>
  <si>
    <t>[x] Work on Course Work</t>
  </si>
  <si>
    <t>[x] Attend Career Services presentation</t>
  </si>
  <si>
    <t>8/5/2020 Wednesday</t>
  </si>
  <si>
    <t>[x] Get cleaning woman started in Mother's apartment</t>
  </si>
  <si>
    <t>[x] Take care of mother in our apartment during cleaning</t>
  </si>
  <si>
    <t>[x] Work on Module 3 Challenge</t>
  </si>
  <si>
    <t>[x] Try Git on command line</t>
  </si>
  <si>
    <t>8/4/2020 Tuesday</t>
  </si>
  <si>
    <t>[x] Talk to Maria about Mother</t>
  </si>
  <si>
    <t>[x] Attend Optional Class</t>
  </si>
  <si>
    <t>[x] Show Mr. Lynch smoke smell</t>
  </si>
  <si>
    <t>8/3/2020 Monday</t>
  </si>
  <si>
    <t>[x] Compose email to Ana and Maria about Mother</t>
  </si>
  <si>
    <t>[x] Respond to Toastmasters Heather email</t>
  </si>
  <si>
    <t>[x] Respond to Toastmasters Kaz email</t>
  </si>
  <si>
    <t>[x] Start Module 3</t>
  </si>
  <si>
    <t>8/2/2020 Sunday</t>
  </si>
  <si>
    <t>[x] Write Exercise Minutes spreadsheet</t>
  </si>
  <si>
    <t>[x] Clean bathroom</t>
  </si>
  <si>
    <t>[x] Clean bathroom vents</t>
  </si>
  <si>
    <t>[x] Clean air filters</t>
  </si>
  <si>
    <t>[x] Clean Le Klint Lamps</t>
  </si>
  <si>
    <t>[x] Get empanada ingredients</t>
  </si>
  <si>
    <t>[x] Make empanadas</t>
  </si>
  <si>
    <t>[x] Retake Module 2 Assessment</t>
  </si>
  <si>
    <t>[x] Scan D.R. slides</t>
  </si>
  <si>
    <t>[x] Transfer Slides Scans to Mac</t>
  </si>
  <si>
    <t>8/1/2020 Saturday</t>
  </si>
  <si>
    <t>[x] Work on Module 2 Challenge</t>
  </si>
  <si>
    <t>[x] Finish Module 2 Challenge</t>
  </si>
  <si>
    <t>[x] Meet with cleaning lady</t>
  </si>
  <si>
    <t>[x] Do Module 2 Assessment</t>
  </si>
  <si>
    <t>Get paints for door and doorframe</t>
  </si>
  <si>
    <t>Enhance Accomplishments spreadsheet</t>
  </si>
  <si>
    <t>Ship box of pictures to Mar√≠a</t>
  </si>
  <si>
    <t>Create Suspiros calculator spreadsheet</t>
  </si>
  <si>
    <t>Make suspiros</t>
  </si>
  <si>
    <t>Start Module 6</t>
  </si>
  <si>
    <t>Purge Accomplishments file</t>
  </si>
  <si>
    <t>Finish Module 4</t>
  </si>
  <si>
    <t>Upload Central Park raccoons to Facebook</t>
  </si>
  <si>
    <t>Change laser printer toner</t>
  </si>
  <si>
    <t>Register Brother printers</t>
  </si>
  <si>
    <t>Revive tasks done spreadsheet</t>
  </si>
  <si>
    <t>Attend Required Class</t>
  </si>
  <si>
    <t>Look into canceling Mother‚Äôs frying pan</t>
  </si>
  <si>
    <t>Figure out how to avoid string format error</t>
  </si>
  <si>
    <t>Have Balcony Leak fixed</t>
  </si>
  <si>
    <t>Investigate CVS $1.24 charge - 888-892-7227</t>
  </si>
  <si>
    <t>Clean balcony drain</t>
  </si>
  <si>
    <t>Clean toilet</t>
  </si>
  <si>
    <t>Cut Toe Nails</t>
  </si>
  <si>
    <t>Make picadillo</t>
  </si>
  <si>
    <t>Rework Bike Trips Spreadsheet</t>
  </si>
  <si>
    <t>Swap Amanda‚Äôs extension cord</t>
  </si>
  <si>
    <t>Order Mother‚Äôs water filter</t>
  </si>
  <si>
    <t>Review/Record installing Jupyter Notebooks</t>
  </si>
  <si>
    <t>Arrange for Living Room water damage fix</t>
  </si>
  <si>
    <t>Pick up Australian belt</t>
  </si>
  <si>
    <t>Check CVS/Caremark charge</t>
  </si>
  <si>
    <t>Register for Alumni Society Leadership Summit</t>
  </si>
  <si>
    <t>Enhance Bicycle trip spreadsheet</t>
  </si>
  <si>
    <t>Take Australian belt to Jim‚Äôs</t>
  </si>
  <si>
    <t>Get Preserved Lemons</t>
  </si>
  <si>
    <t>Work on Contact Tracing course</t>
  </si>
  <si>
    <t>Do Module 3 Career Connection</t>
  </si>
  <si>
    <t>Backup computer</t>
  </si>
  <si>
    <t>Progress on Covid-19 Course</t>
  </si>
  <si>
    <t>Cut nails</t>
  </si>
  <si>
    <t>Record bike tuneup</t>
  </si>
  <si>
    <t>Clean coffeemaker</t>
  </si>
  <si>
    <t>Make bike ride spreadsheet</t>
  </si>
  <si>
    <t>Check Apple remote charge</t>
  </si>
  <si>
    <t>Work on Challenge Analysis</t>
  </si>
  <si>
    <t>Ask Michael why there‚Äôs a dog in 29E</t>
  </si>
  <si>
    <t>Complete Module 3 Challenge</t>
  </si>
  <si>
    <t>Start Python Deep Learning Notes</t>
  </si>
  <si>
    <t>Fix chair foot</t>
  </si>
  <si>
    <t>Sand new cutting board</t>
  </si>
  <si>
    <t>Preview payments</t>
  </si>
  <si>
    <t>Transfer lamp payment</t>
  </si>
  <si>
    <t>Register for Contact Tracing course</t>
  </si>
  <si>
    <t>Start Contact Tracing course</t>
  </si>
  <si>
    <t>Fix polo shirt button</t>
  </si>
  <si>
    <t>Read Jimmy Page and Scarlett Sabet article</t>
  </si>
  <si>
    <t>Plan Dinner</t>
  </si>
  <si>
    <t>Get salmon for dinner</t>
  </si>
  <si>
    <t>Sign up for Disney+</t>
  </si>
  <si>
    <t>Make dinner</t>
  </si>
  <si>
    <t>Look for Audible books</t>
  </si>
  <si>
    <t>Look for Mila Kunis bourbon ads</t>
  </si>
  <si>
    <t>Work on Course Work</t>
  </si>
  <si>
    <t>Attend Career Services presentation</t>
  </si>
  <si>
    <t>Get cleaning woman started in Mother's apartment</t>
  </si>
  <si>
    <t>Take care of mother in our apartment during cleaning</t>
  </si>
  <si>
    <t>Work on Module 3 Challenge</t>
  </si>
  <si>
    <t>Try Git on command line</t>
  </si>
  <si>
    <t>Talk to Maria about Mother</t>
  </si>
  <si>
    <t>Attend Optional Class</t>
  </si>
  <si>
    <t>Show Mr. Lynch smoke smell</t>
  </si>
  <si>
    <t>Compose email to Ana and Maria about Mother</t>
  </si>
  <si>
    <t>Respond to Toastmasters Heather email</t>
  </si>
  <si>
    <t>Respond to Toastmasters Kaz email</t>
  </si>
  <si>
    <t>Start Module 3</t>
  </si>
  <si>
    <t>Write Exercise Minutes spreadsheet</t>
  </si>
  <si>
    <t>Clean bathroom</t>
  </si>
  <si>
    <t>Clean bathroom vents</t>
  </si>
  <si>
    <t>Clean air filters</t>
  </si>
  <si>
    <t>Clean Le Klint Lamps</t>
  </si>
  <si>
    <t>Get empanada ingredients</t>
  </si>
  <si>
    <t>Make empanadas</t>
  </si>
  <si>
    <t>Retake Module 2 Assessment</t>
  </si>
  <si>
    <t>Scan D.R. slides</t>
  </si>
  <si>
    <t>Transfer Slides Scans to Mac</t>
  </si>
  <si>
    <t>Work on Module 2 Challenge</t>
  </si>
  <si>
    <t>Finish Module 2 Challenge</t>
  </si>
  <si>
    <t>Meet with cleaning lady</t>
  </si>
  <si>
    <t>Do Module 2 Assessment</t>
  </si>
  <si>
    <t>Pick up Mother's pants</t>
  </si>
  <si>
    <t>[x] Document Bridges</t>
  </si>
  <si>
    <t>[x] Scan pictures for Craig</t>
  </si>
  <si>
    <t>[x] Clean Bathroom</t>
  </si>
  <si>
    <t>[x] Change Toothbrush</t>
  </si>
  <si>
    <t>[x] Eliminate J9 album</t>
  </si>
  <si>
    <t>[x] Pick up Mother's pants</t>
  </si>
  <si>
    <t>[x] Oil new table</t>
  </si>
  <si>
    <t>[x] Make beer bread</t>
  </si>
  <si>
    <t>Change Toothbrush</t>
  </si>
  <si>
    <t>Eliminate J9 album</t>
  </si>
  <si>
    <t>Make beer bread</t>
  </si>
  <si>
    <t>8/26/2020 Wednesday</t>
  </si>
  <si>
    <t>Try to take Mother to the Dentist</t>
  </si>
  <si>
    <t>Get teeth cleaned</t>
  </si>
  <si>
    <t>8/27/2020 Thursday</t>
  </si>
  <si>
    <t>[ ] Clean up desk envelope holder</t>
  </si>
  <si>
    <t>[x] Try to take Mother to the Dentist</t>
  </si>
  <si>
    <t>[x] Get teeth cleaned</t>
  </si>
  <si>
    <t>[x] Move Ana loan balancing money</t>
  </si>
  <si>
    <t>[x] Get rid of big scanner</t>
  </si>
  <si>
    <t>[x] Set up/register film scanner</t>
  </si>
  <si>
    <t>Check Weather and NYT developer logins</t>
  </si>
  <si>
    <t>Destain white polo shirt</t>
  </si>
  <si>
    <t>Put together Costco order</t>
  </si>
  <si>
    <t>Clean up desk envelope holder</t>
  </si>
  <si>
    <t>Send Toastmasters Word of the Day</t>
  </si>
  <si>
    <t>Move Ana loan balancing money</t>
  </si>
  <si>
    <t>Get rid of big scanner</t>
  </si>
  <si>
    <t>Set up/register film scanner</t>
  </si>
  <si>
    <t>8/28/2020 Friday</t>
  </si>
  <si>
    <t>[x] Destain white polo shirt</t>
  </si>
  <si>
    <t>[x] Check Weather and NYT developer logins</t>
  </si>
  <si>
    <t>[x] Unclog bathtub</t>
  </si>
  <si>
    <t>[x] Answer Linda Rinder</t>
  </si>
  <si>
    <t>[x] Backup Computer</t>
  </si>
  <si>
    <t>Ask Maria to scan Ana picture</t>
  </si>
  <si>
    <t>Unclog bathtub</t>
  </si>
  <si>
    <t>Answer Linda Rinder</t>
  </si>
  <si>
    <t>Backup Computer</t>
  </si>
  <si>
    <t>: Today</t>
  </si>
  <si>
    <t>[ ] Update Columbia Alumni Profile *</t>
  </si>
  <si>
    <t>[ ] Fix Bedroom Bookshelf *</t>
  </si>
  <si>
    <t>[ ] Scan Mother‚Äôs Family Pictures *</t>
  </si>
  <si>
    <t>[ ] Try Spectrum Router *</t>
  </si>
  <si>
    <t>[ ] Close Wells Fargo Account *</t>
  </si>
  <si>
    <t>[ ] Do Houzz.com review of Spivak Architects *</t>
  </si>
  <si>
    <t>[ ] Go to Chevrolet dealer to see new Corvette</t>
  </si>
  <si>
    <t>[ ] Get beneficiaries added to Mother‚Äôs MoNY life insurance *</t>
  </si>
  <si>
    <t>[ ] Start working on MachineWhisper.com Mission Statement *</t>
  </si>
  <si>
    <t>[ ] Straighten CD Shelves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</si>
  <si>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</si>
  <si>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</si>
  <si>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</si>
  <si>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</si>
  <si>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</si>
  <si>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</si>
  <si>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</si>
  <si>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</si>
  <si>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Get Class stuff working on PC *</t>
  </si>
  <si>
    <t>[ ] Update Router firmware *</t>
  </si>
  <si>
    <t>[ ] Write up Alumni Society Slack introduction *</t>
  </si>
  <si>
    <t>[ ] Get Mother‚Äôs hearing aid fixed *</t>
  </si>
  <si>
    <t>[ ] Seal Amanda‚Äôs room leaks *</t>
  </si>
  <si>
    <t>[ ] Do Data Analytics Course Work *</t>
  </si>
  <si>
    <t>8/31/2020 Monday</t>
  </si>
  <si>
    <t>[ ] Secure kitchen kick-panel *</t>
  </si>
  <si>
    <t>[x] Finish Module 6 *</t>
  </si>
  <si>
    <t>[x] Attend required class *</t>
  </si>
  <si>
    <t>[x] Finish Challenge Deliverable 1 *</t>
  </si>
  <si>
    <t>[x] Do Data Analytics Course Work *</t>
  </si>
  <si>
    <t>[x] Make Cuban Meatballs *</t>
  </si>
  <si>
    <t>[x] Try to get Canon Printer working on Toshiba Laptop *</t>
  </si>
  <si>
    <t>[x] Attend Optional Class *</t>
  </si>
  <si>
    <t>[x] Try to get Canon printer working *</t>
  </si>
  <si>
    <t>[x] Join TA office hours *</t>
  </si>
  <si>
    <t>[x] Finish Module 5 Challenge *</t>
  </si>
  <si>
    <t>[x] Clean iPhone speaker holes -</t>
  </si>
  <si>
    <t>[x] Get cash -</t>
  </si>
  <si>
    <t>[x] Work on Module 5 Challenge *</t>
  </si>
  <si>
    <t>[x] Finish Module 5 *</t>
  </si>
  <si>
    <t>[x] Start Module 5 Challenge *</t>
  </si>
  <si>
    <t>[x] Take stuff to Housing Works *</t>
  </si>
  <si>
    <t>[x] Receive table from Pompanoosuc *</t>
  </si>
  <si>
    <t>[x] Calculate shopping expenses *</t>
  </si>
  <si>
    <t>[x] Pay Bills *</t>
  </si>
  <si>
    <t>[x] Do Optional Data Analytics Class *</t>
  </si>
  <si>
    <t>Update Columbia Alumni Profile *</t>
  </si>
  <si>
    <t>Fix Bedroom Bookshelf *</t>
  </si>
  <si>
    <t>Scan Mother‚Äôs Family Pictures *</t>
  </si>
  <si>
    <t>Try Spectrum Router *</t>
  </si>
  <si>
    <t>Close Wells Fargo Account *</t>
  </si>
  <si>
    <t>Do Houzz.com review of Spivak Architects *</t>
  </si>
  <si>
    <t>Go to Chevrolet dealer to see new Corvette</t>
  </si>
  <si>
    <t>Get beneficiaries added to Mother‚Äôs MoNY life insurance *</t>
  </si>
  <si>
    <t>Start working on MachineWhisper.com Mission Statement *</t>
  </si>
  <si>
    <t>Straighten CD Shelves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</si>
  <si>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</si>
  <si>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</si>
  <si>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</si>
  <si>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</si>
  <si>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</si>
  <si>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</si>
  <si>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</si>
  <si>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</si>
  <si>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Get Class stuff working on PC *</t>
  </si>
  <si>
    <t>Update Router firmware *</t>
  </si>
  <si>
    <t>Write up Alumni Society Slack introduction *</t>
  </si>
  <si>
    <t>Get Mother‚Äôs hearing aid fixed *</t>
  </si>
  <si>
    <t>Seal Amanda‚Äôs room leaks *</t>
  </si>
  <si>
    <t>Do Data Analytics Course Work *</t>
  </si>
  <si>
    <t>Do Laundry *</t>
  </si>
  <si>
    <t>Work on Data Analytics Challenge *</t>
  </si>
  <si>
    <t>Secure kitchen kick-panel *</t>
  </si>
  <si>
    <t>Finish Module 6 *</t>
  </si>
  <si>
    <t>Attend required class *</t>
  </si>
  <si>
    <t>Finish Challenge Deliverable 1 *</t>
  </si>
  <si>
    <t>Make Cuban Meatballs *</t>
  </si>
  <si>
    <t>Try to get Canon Printer working on Toshiba Laptop *</t>
  </si>
  <si>
    <t>Attend Optional Class *</t>
  </si>
  <si>
    <t>Try to get Canon printer working *</t>
  </si>
  <si>
    <t>Join TA office hours *</t>
  </si>
  <si>
    <t>Finish Module 5 Challenge *</t>
  </si>
  <si>
    <t>Clean iPhone speaker holes -</t>
  </si>
  <si>
    <t>Get cash -</t>
  </si>
  <si>
    <t>Work on Module 5 Challenge *</t>
  </si>
  <si>
    <t>Finish Module 5 *</t>
  </si>
  <si>
    <t>Start Module 5 Challenge *</t>
  </si>
  <si>
    <t>Take stuff to Housing Works *</t>
  </si>
  <si>
    <t>Receive table from Pompanoosuc *</t>
  </si>
  <si>
    <t>Calculate shopping expenses *</t>
  </si>
  <si>
    <t>Pay Bills *</t>
  </si>
  <si>
    <t>Do Optional Data Analytics Class *</t>
  </si>
  <si>
    <t>Weight</t>
  </si>
  <si>
    <t>[ ] Work on machinewhisper.com home page +</t>
  </si>
  <si>
    <t>[ ] Get Mother‚Äôs hearing aid adjusted +</t>
  </si>
  <si>
    <t>Work on machinewhisper.com home page +</t>
  </si>
  <si>
    <t>Get Mother‚Äôs hearing aid adjusted +</t>
  </si>
  <si>
    <t>[x] Ask Maria to scan Ana picture</t>
  </si>
  <si>
    <t>[x] Do Laundry *</t>
  </si>
  <si>
    <t>[x] Work on adding weights to Accomplishments spreadsheet</t>
  </si>
  <si>
    <t>[x] Get rid of Mother‚Äôs bad jeans</t>
  </si>
  <si>
    <t>[x] Work on Data Analytics Challenge *</t>
  </si>
  <si>
    <t>[x] Pay Apria Bill</t>
  </si>
  <si>
    <t>Work on adding weights to Accomplishments spreadsheet</t>
  </si>
  <si>
    <t>Pay Apria Bill</t>
  </si>
  <si>
    <t>[ ] Answer Craig‚Äôs email</t>
  </si>
  <si>
    <t>[ ] See Hamilton</t>
  </si>
  <si>
    <t>[ ] Update Resume with Python, Pandas, matplotlib</t>
  </si>
  <si>
    <t>[ ] Restrict Mother‚Äôs TV Channels</t>
  </si>
  <si>
    <t>8/30/2020 Sunday</t>
  </si>
  <si>
    <t>[x] Check Disney subscription - September 7th</t>
  </si>
  <si>
    <t>[x] Vacuum Balcony</t>
  </si>
  <si>
    <t>[x] Work on Puzzle</t>
  </si>
  <si>
    <t>[x] Send Toastmasters Word of the Day</t>
  </si>
  <si>
    <t>[x] Go to the Met</t>
  </si>
  <si>
    <t>[x] Run Dishwasher</t>
  </si>
  <si>
    <t>[x] Do Module 6 Assessment *</t>
  </si>
  <si>
    <t>8/29/2020 Saturday</t>
  </si>
  <si>
    <t>[x] Back up phone</t>
  </si>
  <si>
    <t>[x] Get lasagna ingredients</t>
  </si>
  <si>
    <t>[x] Make lasagna</t>
  </si>
  <si>
    <t>[x] Finish Data Analytics Challenge*</t>
  </si>
  <si>
    <t>[x] Submit Data Analytics Challenge</t>
  </si>
  <si>
    <t>Answer Craig‚Äôs email</t>
  </si>
  <si>
    <t>See Hamilton</t>
  </si>
  <si>
    <t>Update Resume with Python, Pandas, matplotlib</t>
  </si>
  <si>
    <t>Restrict Mother‚Äôs TV Channels</t>
  </si>
  <si>
    <t>Move Mother‚Äôs glass</t>
  </si>
  <si>
    <t>Send ‚ÄòPositive‚Äô Word of the Day</t>
  </si>
  <si>
    <t>Start Module 7 *</t>
  </si>
  <si>
    <t>Grind Coffee</t>
  </si>
  <si>
    <t>Exchange Murse</t>
  </si>
  <si>
    <t>Check Disney subscription - September 7th</t>
  </si>
  <si>
    <t>Vacuum Balcony</t>
  </si>
  <si>
    <t>Work on Puzzle</t>
  </si>
  <si>
    <t>Go to the Met</t>
  </si>
  <si>
    <t>Run Dishwasher</t>
  </si>
  <si>
    <t>Do Module 6 Assessment *</t>
  </si>
  <si>
    <t>Back up phone</t>
  </si>
  <si>
    <t>Get lasagna ingredients</t>
  </si>
  <si>
    <t>Make lasagna</t>
  </si>
  <si>
    <t>Finish Data Analytics Challenge*</t>
  </si>
  <si>
    <t>Submit Data Analytics Challenge</t>
  </si>
  <si>
    <t>[ ] Write to moving company about palm plates</t>
  </si>
  <si>
    <t>9/1/2020 Tuesday</t>
  </si>
  <si>
    <t>[x] Clean Dish Drainer</t>
  </si>
  <si>
    <t>[x] Move Mother‚Äôs glass</t>
  </si>
  <si>
    <t>[x] Exchange Murse</t>
  </si>
  <si>
    <t>[x] Send ‚ÄòPositive‚Äô Word of the Day</t>
  </si>
  <si>
    <t>[x] Work on puzzle</t>
  </si>
  <si>
    <t>[x] Grind Coffee</t>
  </si>
  <si>
    <t>[x] Figure out which iPhone was submitted for class action</t>
  </si>
  <si>
    <t>[x] Check Mother‚Äôs Bloomingdales frying pan order</t>
  </si>
  <si>
    <t>[x] Put together Costco order</t>
  </si>
  <si>
    <t>[x] Notify Toastmasters of non-attendance</t>
  </si>
  <si>
    <t>[x] Find Mother‚Äôs check -</t>
  </si>
  <si>
    <t>[x] Start Module 7 *</t>
  </si>
  <si>
    <t>Write to moving company about palm plates</t>
  </si>
  <si>
    <t>Set up Monthly Challenge spreadsheet</t>
  </si>
  <si>
    <t>Start converting AccomplishmentsV4 to Python</t>
  </si>
  <si>
    <t>Look up iPhone not charging from Mac</t>
  </si>
  <si>
    <t>Bring back green table cloth material</t>
  </si>
  <si>
    <t>Spray shorts and underwear</t>
  </si>
  <si>
    <t>Clean Dish Drainer</t>
  </si>
  <si>
    <t>Work on puzzle</t>
  </si>
  <si>
    <t>Figure out which iPhone was submitted for class action</t>
  </si>
  <si>
    <t>Check Mother‚Äôs Bloomingdales frying pan order</t>
  </si>
  <si>
    <t>Notify Toastmasters of non-attendance</t>
  </si>
  <si>
    <t>Find Mother‚Äôs check -</t>
  </si>
  <si>
    <t>Week Day</t>
  </si>
  <si>
    <t>Count</t>
  </si>
  <si>
    <t>9/2/2020 Wednesday</t>
  </si>
  <si>
    <t>[ ] Purge Shirts *</t>
  </si>
  <si>
    <t>[x] Set up Monthly Challenge spreadsheet</t>
  </si>
  <si>
    <t>[x] Start converting AccomplishmentsV4 to Python</t>
  </si>
  <si>
    <t>[x] Spray shorts and underwear</t>
  </si>
  <si>
    <t>[x] Look up graduate degree date</t>
  </si>
  <si>
    <t>[x] Work on blocking Mother's TV channels</t>
  </si>
  <si>
    <t>[x] Heat up lasagna</t>
  </si>
  <si>
    <t>Set Costco substitutions</t>
  </si>
  <si>
    <t>Work on AccomplishmentsV4</t>
  </si>
  <si>
    <t>Purge Shirts *</t>
  </si>
  <si>
    <t>Look up graduate degree date</t>
  </si>
  <si>
    <t>Work on blocking Mother's TV channels</t>
  </si>
  <si>
    <t>Heat up lasagna</t>
  </si>
  <si>
    <t>Done Y</t>
  </si>
  <si>
    <t>Done R</t>
  </si>
  <si>
    <t>ToDo T</t>
  </si>
  <si>
    <t>[ ] See The Princess Bride</t>
  </si>
  <si>
    <t>9/3/2020 Thursday</t>
  </si>
  <si>
    <t>[ ] Work on Mother's TV channels</t>
  </si>
  <si>
    <t>[x] Work on AccomplishmentsV4</t>
  </si>
  <si>
    <t>[x] Set Costco substitutions</t>
  </si>
  <si>
    <t>[x] Clean up GitHub Directories</t>
  </si>
  <si>
    <t>[x] Empty Mother's dishwasher</t>
  </si>
  <si>
    <t>[x] Finish and take apart puzzle</t>
  </si>
  <si>
    <t>[x] Finish Module 7 *</t>
  </si>
  <si>
    <t>[x] Work on Module 7 Challenge *</t>
  </si>
  <si>
    <t>[x] Look up iPhone not charging from Mac</t>
  </si>
  <si>
    <t>See The Princess Bride</t>
  </si>
  <si>
    <t>Work on Mother's TV channels</t>
  </si>
  <si>
    <t>Unclog Mother‚Äôs sink</t>
  </si>
  <si>
    <t>Clean up GitHub Directories</t>
  </si>
  <si>
    <t>Empty Mother's dishwasher</t>
  </si>
  <si>
    <t>Finish and take apart puzzle</t>
  </si>
  <si>
    <t>Finish Module 7 *</t>
  </si>
  <si>
    <t>Work on Module 7 Challenge *</t>
  </si>
  <si>
    <t>ToDo F</t>
  </si>
  <si>
    <t>[ ] Purge Mother‚Äôs bags</t>
  </si>
  <si>
    <t>[ ] Make Facebook biking album</t>
  </si>
  <si>
    <t>9/4/2020 Friday</t>
  </si>
  <si>
    <t>[ ] Do Laundry *</t>
  </si>
  <si>
    <t>[x] Refactor AccomplishmentsV4 to not use Jupyter Notebook</t>
  </si>
  <si>
    <t>[x] Start GitHub Repository for Accomplishments</t>
  </si>
  <si>
    <t>[x] Take down Mother‚Äôs candy, flashlight, and plunger</t>
  </si>
  <si>
    <t>[x] Bring back green table cloth material</t>
  </si>
  <si>
    <t>[x] Unclog Mother‚Äôs sink</t>
  </si>
  <si>
    <t>[x] Connect Postgres to Python</t>
  </si>
  <si>
    <t>[x] Attend required class</t>
  </si>
  <si>
    <t>Purge Mother‚Äôs bags</t>
  </si>
  <si>
    <t>Make Facebook biking album</t>
  </si>
  <si>
    <t>Refactor AccomplishmentsV4 to not use Jupyter Notebook</t>
  </si>
  <si>
    <t>Start GitHub Repository for Accomplishments</t>
  </si>
  <si>
    <t>Take down Mother‚Äôs candy, flashlight, and plunger</t>
  </si>
  <si>
    <t>Connect Postgres to Python</t>
  </si>
  <si>
    <t>Attend required class</t>
  </si>
  <si>
    <t>[ ] Organize desk bookshelf</t>
  </si>
  <si>
    <t>[ ] Take Housing Works bag</t>
  </si>
  <si>
    <t>[ ] Receive Costco order</t>
  </si>
  <si>
    <t>[ ] Work on AccomplishmentsV4 automation</t>
  </si>
  <si>
    <t>[ ] Get bourbon from Astor</t>
  </si>
  <si>
    <t>[ ] Calculate Costco bill</t>
  </si>
  <si>
    <t>[ ] Work on Data Analytics Challenge *</t>
  </si>
  <si>
    <t>Organize desk bookshelf</t>
  </si>
  <si>
    <t>Take Housing Works bag</t>
  </si>
  <si>
    <t>Receive Costco order</t>
  </si>
  <si>
    <t>Work on AccomplishmentsV4 automation</t>
  </si>
  <si>
    <t>Get bourbon from Astor</t>
  </si>
  <si>
    <t>Calculate Costco bill</t>
  </si>
  <si>
    <t>[x] Read and write DataFrames to Postgres tables</t>
  </si>
  <si>
    <t>Read and write DataFrames to Postgres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</si>
</sst>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right"/>
    </xf>
    <xf numFmtId="14" fontId="0" fillId="0" borderId="0" xfId="0" applyNumberFormat="1"/>
    <xf numFmtId="0" fontId="18" fillId="0" borderId="0" xfId="0" applyNumberFormat="1" applyFont="1"/>
    <xf numFmtId="14" fontId="16" fillId="0" borderId="0" xfId="0" applyNumberFormat="1" applyFont="1" applyAlignment="1">
      <alignment horizontal="right"/>
    </xf>
    <xf numFmtId="0" fontId="16" fillId="0" borderId="0" xfId="0" applyFont="1" applyAlignment="1">
      <alignment horizontal="right"/>
    </xf>
    <xf numFmtId="0" fontId="0" fillId="0" borderId="0" xfId="0" applyNumberFormat="1" applyFill="1"/>
    <xf numFmtId="14" fontId="0" fillId="0" borderId="0" xfId="0" applyNumberFormat="1" applyFill="1"/>
    <xf numFmtId="0" fontId="0" fillId="0" borderId="0" xfId="0" applyFill="1"/>
    <xf numFmtId="0" fontId="0" fillId="0" borderId="0" xfId="0" applyFont="1"/>
    <xf numFmtId="0" fontId="16" fillId="0" borderId="0" xfId="0" applyFont="1" applyAlignment="1">
      <alignment horizontal="center" wrapText="1"/>
    </xf>
    <xf numFmtId="0" fontId="14" fillId="0" borderId="0" xfId="0" applyFont="1"/>
    <xf numFmtId="0" fontId="20" fillId="33" borderId="0" xfId="0" applyNumberFormat="1" applyFont="1" applyFill="1"/>
    <xf numFmtId="14" fontId="20" fillId="33" borderId="0" xfId="0" applyNumberFormat="1" applyFont="1" applyFill="1"/>
    <xf numFmtId="0" fontId="20" fillId="33" borderId="0" xfId="0" applyFont="1" applyFill="1"/>
    <xf numFmtId="0" fontId="16" fillId="0" borderId="0" xfId="0" applyFont="1" applyAlignment="1">
      <alignment horizontal="center"/>
    </xf>
    <xf numFmtId="0" fontId="0" fillId="0" borderId="10" xfId="0" applyNumberFormat="1" applyBorder="1"/>
    <xf numFmtId="14" fontId="0" fillId="0" borderId="10" xfId="0" applyNumberFormat="1" applyBorder="1"/>
    <xf numFmtId="0" fontId="0" fillId="0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Summary!$M$7</c:f>
              <c:strCache>
                <c:ptCount val="1"/>
                <c:pt idx="0">
                  <c:v>Done R</c:v>
                </c:pt>
              </c:strCache>
            </c:strRef>
          </c:tx>
          <c:spPr>
            <a:solidFill>
              <a:srgbClr val="00B050">
                <a:alpha val="5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Summary!$L$8:$L$10</c:f>
              <c:numCache>
                <c:formatCode>m/d/yy</c:formatCode>
                <c:ptCount val="3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</c:numCache>
            </c:numRef>
          </c:cat>
          <c:val>
            <c:numRef>
              <c:f>Summary!$M$8:$M$10</c:f>
              <c:numCache>
                <c:formatCode>General</c:formatCode>
                <c:ptCount val="3"/>
                <c:pt idx="0">
                  <c:v>109</c:v>
                </c:pt>
                <c:pt idx="1">
                  <c:v>110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3"/>
          <c:order val="1"/>
          <c:tx>
            <c:strRef>
              <c:f>Summary!$N$7</c:f>
              <c:strCache>
                <c:ptCount val="1"/>
                <c:pt idx="0">
                  <c:v>Done Y</c:v>
                </c:pt>
              </c:strCache>
            </c:strRef>
          </c:tx>
          <c:spPr>
            <a:solidFill>
              <a:srgbClr val="00B0F0">
                <a:alpha val="51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Summary!$L$8:$L$10</c:f>
              <c:numCache>
                <c:formatCode>m/d/yy</c:formatCode>
                <c:ptCount val="3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</c:numCache>
            </c:numRef>
          </c:cat>
          <c:val>
            <c:numRef>
              <c:f>Summary!$N$8:$N$10</c:f>
              <c:numCache>
                <c:formatCode>General</c:formatCode>
                <c:ptCount val="3"/>
                <c:pt idx="0">
                  <c:v>11</c:v>
                </c:pt>
                <c:pt idx="1">
                  <c:v>13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10-D742-96DC-6A1676F23218}"/>
            </c:ext>
          </c:extLst>
        </c:ser>
        <c:ser>
          <c:idx val="0"/>
          <c:order val="2"/>
          <c:tx>
            <c:strRef>
              <c:f>Summary!$O$7</c:f>
              <c:strCache>
                <c:ptCount val="1"/>
                <c:pt idx="0">
                  <c:v>ToDo 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Summary!$L$8:$L$10</c:f>
              <c:numCache>
                <c:formatCode>m/d/yy</c:formatCode>
                <c:ptCount val="3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</c:numCache>
            </c:numRef>
          </c:cat>
          <c:val>
            <c:numRef>
              <c:f>Summary!$O$8:$O$10</c:f>
              <c:numCache>
                <c:formatCode>General</c:formatCode>
                <c:ptCount val="3"/>
                <c:pt idx="0">
                  <c:v>21</c:v>
                </c:pt>
                <c:pt idx="1">
                  <c:v>22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10-D742-96DC-6A1676F23218}"/>
            </c:ext>
          </c:extLst>
        </c:ser>
        <c:ser>
          <c:idx val="1"/>
          <c:order val="3"/>
          <c:tx>
            <c:strRef>
              <c:f>Summary!$P$7</c:f>
              <c:strCache>
                <c:ptCount val="1"/>
                <c:pt idx="0">
                  <c:v>ToDo F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numRef>
              <c:f>Summary!$L$8:$L$10</c:f>
              <c:numCache>
                <c:formatCode>m/d/yy</c:formatCode>
                <c:ptCount val="3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</c:numCache>
            </c:numRef>
          </c:cat>
          <c:val>
            <c:numRef>
              <c:f>Summary!$P$8:$P$10</c:f>
              <c:numCache>
                <c:formatCode>General</c:formatCode>
                <c:ptCount val="3"/>
                <c:pt idx="0">
                  <c:v>107</c:v>
                </c:pt>
                <c:pt idx="1">
                  <c:v>107</c:v>
                </c:pt>
                <c:pt idx="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3-2B4E-A858-786A9BA16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12700</xdr:rowOff>
        </xdr:from>
        <xdr:to>
          <xdr:col>15</xdr:col>
          <xdr:colOff>101600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Totals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6350</xdr:colOff>
      <xdr:row>0</xdr:row>
      <xdr:rowOff>0</xdr:rowOff>
    </xdr:from>
    <xdr:to>
      <xdr:col>27</xdr:col>
      <xdr:colOff>152400</xdr:colOff>
      <xdr:row>19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8</xdr:row>
          <xdr:rowOff>190500</xdr:rowOff>
        </xdr:from>
        <xdr:to>
          <xdr:col>7</xdr:col>
          <xdr:colOff>673100</xdr:colOff>
          <xdr:row>10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S34"/>
  <sheetViews>
    <sheetView tabSelected="1" workbookViewId="0">
      <pane ySplit="1" topLeftCell="A2" activePane="bottomLeft" state="frozen"/>
      <selection activeCell="G1" sqref="G1"/>
      <selection pane="bottomLeft" activeCell="L10" sqref="L10"/>
    </sheetView>
  </sheetViews>
  <sheetFormatPr baseColWidth="10" defaultColWidth="10.83203125" defaultRowHeight="16"/>
  <cols>
    <col min="1" max="1" width="12.6640625" style="1" bestFit="1" customWidth="1"/>
    <col min="2" max="2" width="11.33203125" bestFit="1" customWidth="1"/>
    <col min="3" max="4" width="7.1640625" bestFit="1" customWidth="1"/>
    <col min="5" max="5" width="9.5" bestFit="1" customWidth="1"/>
    <col min="6" max="6" width="8" bestFit="1" customWidth="1"/>
    <col min="7" max="7" width="14.33203125" bestFit="1" customWidth="1"/>
    <col min="8" max="8" width="5.1640625" bestFit="1" customWidth="1"/>
    <col min="9" max="9" width="14.33203125" bestFit="1" customWidth="1"/>
    <col min="10" max="10" width="5.1640625" bestFit="1" customWidth="1"/>
    <col min="11" max="11" width="4.1640625" customWidth="1"/>
    <col min="12" max="12" width="10.83203125" style="4"/>
    <col min="13" max="13" width="7.1640625" bestFit="1" customWidth="1"/>
    <col min="14" max="14" width="7" bestFit="1" customWidth="1"/>
    <col min="15" max="15" width="7.1640625" customWidth="1"/>
    <col min="16" max="16" width="7" bestFit="1" customWidth="1"/>
    <col min="17" max="17" width="5.5" customWidth="1"/>
    <col min="18" max="18" width="4" customWidth="1"/>
    <col min="19" max="19" width="10.83203125" style="4"/>
    <col min="20" max="20" width="5.5" bestFit="1" customWidth="1"/>
    <col min="21" max="21" width="6.1640625" bestFit="1" customWidth="1"/>
    <col min="22" max="22" width="5.5" bestFit="1" customWidth="1"/>
    <col min="23" max="23" width="5.33203125" bestFit="1" customWidth="1"/>
  </cols>
  <sheetData>
    <row r="1" spans="1:17" ht="21">
      <c r="A1" s="5" t="s">
        <v>678</v>
      </c>
      <c r="B1" s="2" t="s">
        <v>64</v>
      </c>
      <c r="C1" s="3" t="s">
        <v>63</v>
      </c>
      <c r="D1" s="3" t="s">
        <v>65</v>
      </c>
      <c r="E1" s="3" t="s">
        <v>601</v>
      </c>
      <c r="F1" s="3" t="s">
        <v>679</v>
      </c>
      <c r="G1" s="2" t="s">
        <v>66</v>
      </c>
      <c r="H1" s="2">
        <f ca="1">SUM($D:$D)</f>
        <v>105</v>
      </c>
      <c r="I1" s="2" t="s">
        <v>67</v>
      </c>
      <c r="J1" s="2">
        <f ca="1">SUM($C:$C)</f>
        <v>108</v>
      </c>
      <c r="L1" s="6" t="s">
        <v>158</v>
      </c>
      <c r="M1" s="12" t="s">
        <v>695</v>
      </c>
      <c r="N1" s="12" t="s">
        <v>694</v>
      </c>
      <c r="O1" s="12" t="s">
        <v>696</v>
      </c>
      <c r="P1" s="17" t="s">
        <v>716</v>
      </c>
      <c r="Q1" s="7"/>
    </row>
    <row r="2" spans="1:17">
      <c r="B2" t="s">
        <v>0</v>
      </c>
      <c r="C2" s="10">
        <f>COUNTIFS(ProcessedData!$A:$A,$B2,ProcessedData!$D:$D,1)</f>
        <v>0</v>
      </c>
      <c r="D2" s="10">
        <f>COUNTIFS(ProcessedData!$A:$A,$B2,ProcessedData!$D:$D,0)</f>
        <v>27</v>
      </c>
      <c r="E2" s="10">
        <f>VLOOKUP($B2,[0]!Summary,4)</f>
        <v>35</v>
      </c>
      <c r="F2" s="10">
        <f>VLOOKUP($B2,[0]!Summary,5)</f>
        <v>27</v>
      </c>
      <c r="L2" s="4">
        <f ca="1">$B$9</f>
        <v>44077</v>
      </c>
      <c r="M2">
        <f ca="1">SUM(E9:E18)-N2</f>
        <v>105</v>
      </c>
      <c r="N2">
        <f ca="1">$E$9</f>
        <v>12</v>
      </c>
      <c r="O2">
        <f ca="1">E8</f>
        <v>25</v>
      </c>
      <c r="P2">
        <f ca="1">SUM($E$2:$E$7)</f>
        <v>110</v>
      </c>
    </row>
    <row r="3" spans="1:17">
      <c r="B3" t="s">
        <v>18</v>
      </c>
      <c r="C3" s="10">
        <f>COUNTIFS(ProcessedData!$A:$A,$B3,ProcessedData!$D:$D,1)</f>
        <v>0</v>
      </c>
      <c r="D3" s="10">
        <f>COUNTIFS(ProcessedData!$A:$A,$B3,ProcessedData!$D:$D,0)</f>
        <v>26</v>
      </c>
      <c r="E3" s="10">
        <f>VLOOKUP($B3,[0]!Summary,4)</f>
        <v>34</v>
      </c>
      <c r="F3" s="10">
        <f>VLOOKUP($B3,[0]!Summary,5)</f>
        <v>26</v>
      </c>
    </row>
    <row r="4" spans="1:17">
      <c r="B4" t="s">
        <v>36</v>
      </c>
      <c r="C4" s="10">
        <f>COUNTIFS(ProcessedData!$A:$A,$B4,ProcessedData!$D:$D,1)</f>
        <v>0</v>
      </c>
      <c r="D4" s="10">
        <f>COUNTIFS(ProcessedData!$A:$A,$B4,ProcessedData!$D:$D,0)</f>
        <v>31</v>
      </c>
      <c r="E4" s="10">
        <f>VLOOKUP($B4,[0]!Summary,4)</f>
        <v>41</v>
      </c>
      <c r="F4" s="10">
        <f>VLOOKUP($B4,[0]!Summary,5)</f>
        <v>31</v>
      </c>
    </row>
    <row r="5" spans="1:17">
      <c r="A5" s="1" t="str">
        <f t="shared" ref="A5:A18" ca="1" si="0">VLOOKUP(WEEKDAY(B5),DayLookup,2)</f>
        <v>Monday</v>
      </c>
      <c r="B5" s="4">
        <f ca="1">TODAY()+3</f>
        <v>44081</v>
      </c>
      <c r="C5" s="10">
        <f ca="1">COUNTIFS(ProcessedData!$A:$A,$B5,ProcessedData!$D:$D,1)</f>
        <v>0</v>
      </c>
      <c r="D5" s="10">
        <f ca="1">COUNTIFS(ProcessedData!$A:$A,$B5,ProcessedData!$D:$D,0)</f>
        <v>0</v>
      </c>
      <c r="E5" s="10">
        <f ca="1">IF(D5&gt;0,VLOOKUP($B5,[0]!Summary,4),0)</f>
        <v>0</v>
      </c>
      <c r="F5" s="10">
        <f ca="1">VLOOKUP($B5,[0]!Summary,5)</f>
        <v>21</v>
      </c>
    </row>
    <row r="6" spans="1:17">
      <c r="A6" s="1" t="str">
        <f t="shared" ca="1" si="0"/>
        <v>Sunday</v>
      </c>
      <c r="B6" s="4">
        <f ca="1">B5-1</f>
        <v>44080</v>
      </c>
      <c r="C6" s="10">
        <f ca="1">COUNTIFS(ProcessedData!$A:$A,$B6,ProcessedData!$D:$D,1)</f>
        <v>0</v>
      </c>
      <c r="D6" s="10">
        <f ca="1">COUNTIFS(ProcessedData!$A:$A,$B6,ProcessedData!$D:$D,0)</f>
        <v>0</v>
      </c>
      <c r="E6" s="10">
        <f ca="1">IF(D6&gt;0,VLOOKUP($B6,[0]!Summary,4),0)</f>
        <v>0</v>
      </c>
      <c r="F6" s="10">
        <f ca="1">VLOOKUP($B6,[0]!Summary,5)</f>
        <v>21</v>
      </c>
    </row>
    <row r="7" spans="1:17" ht="17">
      <c r="A7" s="1" t="str">
        <f t="shared" ca="1" si="0"/>
        <v>Saturday</v>
      </c>
      <c r="B7" s="4">
        <f t="shared" ref="B7:B18" ca="1" si="1">B6-1</f>
        <v>44079</v>
      </c>
      <c r="C7" s="10">
        <f ca="1">COUNTIFS(ProcessedData!$A:$A,$B7,ProcessedData!$D:$D,1)</f>
        <v>0</v>
      </c>
      <c r="D7" s="10">
        <f ca="1">COUNTIFS(ProcessedData!$A:$A,$B7,ProcessedData!$D:$D,0)</f>
        <v>0</v>
      </c>
      <c r="E7" s="10">
        <f ca="1">IF(D7&gt;0,VLOOKUP($B7,[0]!Summary,4),0)</f>
        <v>0</v>
      </c>
      <c r="F7" s="10">
        <f ca="1">VLOOKUP($B7,[0]!Summary,5)</f>
        <v>21</v>
      </c>
      <c r="L7" s="6" t="s">
        <v>158</v>
      </c>
      <c r="M7" s="12" t="s">
        <v>695</v>
      </c>
      <c r="N7" s="12" t="s">
        <v>694</v>
      </c>
      <c r="O7" s="12" t="s">
        <v>696</v>
      </c>
      <c r="P7" s="12" t="s">
        <v>716</v>
      </c>
      <c r="Q7" s="7"/>
    </row>
    <row r="8" spans="1:17">
      <c r="A8" s="8" t="str">
        <f t="shared" ca="1" si="0"/>
        <v>Friday</v>
      </c>
      <c r="B8" s="9">
        <f t="shared" ca="1" si="1"/>
        <v>44078</v>
      </c>
      <c r="C8" s="10">
        <f ca="1">COUNTIFS(ProcessedData!$A:$A,$B8,ProcessedData!$D:$D,1)</f>
        <v>0</v>
      </c>
      <c r="D8" s="10">
        <f ca="1">COUNTIFS(ProcessedData!$A:$A,$B8,ProcessedData!$D:$D,0)</f>
        <v>21</v>
      </c>
      <c r="E8" s="10">
        <f ca="1">IF(D8&gt;0,VLOOKUP($B8,[0]!Summary,4),0)</f>
        <v>25</v>
      </c>
      <c r="F8" s="10">
        <f ca="1">VLOOKUP($B8,[0]!Summary,5)</f>
        <v>21</v>
      </c>
      <c r="L8" s="4">
        <v>44075</v>
      </c>
      <c r="M8">
        <v>109</v>
      </c>
      <c r="N8">
        <v>11</v>
      </c>
      <c r="O8">
        <v>21</v>
      </c>
      <c r="P8" s="11">
        <v>107</v>
      </c>
    </row>
    <row r="9" spans="1:17">
      <c r="A9" s="14" t="str">
        <f t="shared" ca="1" si="0"/>
        <v>Thursday</v>
      </c>
      <c r="B9" s="15">
        <f t="shared" ca="1" si="1"/>
        <v>44077</v>
      </c>
      <c r="C9" s="16">
        <f ca="1">COUNTIFS(ProcessedData!$A:$A,$B9,ProcessedData!$D:$D,1)</f>
        <v>11</v>
      </c>
      <c r="D9" s="16">
        <f ca="1">COUNTIFS(ProcessedData!$A:$A,$B9,ProcessedData!$D:$D,0)</f>
        <v>0</v>
      </c>
      <c r="E9" s="16">
        <f ca="1">VLOOKUP($B9,[0]!Summary,4)</f>
        <v>12</v>
      </c>
      <c r="F9" s="16">
        <f ca="1">VLOOKUP($B9,[0]!Summary,5)</f>
        <v>11</v>
      </c>
      <c r="L9" s="4">
        <v>44076</v>
      </c>
      <c r="M9">
        <v>110</v>
      </c>
      <c r="N9">
        <v>13</v>
      </c>
      <c r="O9">
        <v>22</v>
      </c>
      <c r="P9" s="11">
        <v>107</v>
      </c>
    </row>
    <row r="10" spans="1:17">
      <c r="A10" s="1" t="str">
        <f t="shared" ca="1" si="0"/>
        <v>Wednesday</v>
      </c>
      <c r="B10" s="4">
        <f t="shared" ca="1" si="1"/>
        <v>44076</v>
      </c>
      <c r="C10" s="10">
        <f ca="1">COUNTIFS(ProcessedData!$A:$A,$B10,ProcessedData!$D:$D,1)</f>
        <v>11</v>
      </c>
      <c r="D10" s="10">
        <f ca="1">COUNTIFS(ProcessedData!$A:$A,$B10,ProcessedData!$D:$D,0)</f>
        <v>0</v>
      </c>
      <c r="E10" s="10">
        <f ca="1">VLOOKUP($B10,[0]!Summary,4)</f>
        <v>13</v>
      </c>
      <c r="F10" s="10">
        <f ca="1">VLOOKUP($B10,[0]!Summary,5)</f>
        <v>11</v>
      </c>
      <c r="G10" s="13"/>
      <c r="L10" s="4">
        <v>44077</v>
      </c>
      <c r="M10">
        <v>105</v>
      </c>
      <c r="N10">
        <v>12</v>
      </c>
      <c r="O10">
        <v>25</v>
      </c>
      <c r="P10">
        <v>110</v>
      </c>
    </row>
    <row r="11" spans="1:17">
      <c r="A11" s="1" t="str">
        <f t="shared" ca="1" si="0"/>
        <v>Tuesday</v>
      </c>
      <c r="B11" s="4">
        <f t="shared" ca="1" si="1"/>
        <v>44075</v>
      </c>
      <c r="C11" s="10">
        <f ca="1">COUNTIFS(ProcessedData!$A:$A,$B11,ProcessedData!$D:$D,1)</f>
        <v>10</v>
      </c>
      <c r="D11" s="10">
        <f ca="1">COUNTIFS(ProcessedData!$A:$A,$B11,ProcessedData!$D:$D,0)</f>
        <v>0</v>
      </c>
      <c r="E11" s="10">
        <f ca="1">VLOOKUP($B11,[0]!Summary,4)</f>
        <v>11</v>
      </c>
      <c r="F11" s="10">
        <f ca="1">VLOOKUP($B11,[0]!Summary,5)</f>
        <v>10</v>
      </c>
    </row>
    <row r="12" spans="1:17">
      <c r="A12" s="1" t="str">
        <f t="shared" ca="1" si="0"/>
        <v>Monday</v>
      </c>
      <c r="B12" s="4">
        <f t="shared" ca="1" si="1"/>
        <v>44074</v>
      </c>
      <c r="C12" s="10">
        <f ca="1">COUNTIFS(ProcessedData!$A:$A,$B12,ProcessedData!$D:$D,1)</f>
        <v>15</v>
      </c>
      <c r="D12" s="10">
        <f ca="1">COUNTIFS(ProcessedData!$A:$A,$B12,ProcessedData!$D:$D,0)</f>
        <v>0</v>
      </c>
      <c r="E12" s="10">
        <f ca="1">VLOOKUP($B12,[0]!Summary,4)</f>
        <v>10</v>
      </c>
      <c r="F12" s="10">
        <f ca="1">VLOOKUP($B12,[0]!Summary,5)</f>
        <v>10</v>
      </c>
    </row>
    <row r="13" spans="1:17">
      <c r="A13" s="1" t="str">
        <f t="shared" ca="1" si="0"/>
        <v>Sunday</v>
      </c>
      <c r="B13" s="4">
        <f t="shared" ca="1" si="1"/>
        <v>44073</v>
      </c>
      <c r="C13" s="10">
        <f ca="1">COUNTIFS(ProcessedData!$A:$A,$B13,ProcessedData!$D:$D,1)</f>
        <v>9</v>
      </c>
      <c r="D13" s="10">
        <f ca="1">COUNTIFS(ProcessedData!$A:$A,$B13,ProcessedData!$D:$D,0)</f>
        <v>0</v>
      </c>
      <c r="E13" s="10">
        <f ca="1">VLOOKUP($B13,[0]!Summary,4)</f>
        <v>10</v>
      </c>
      <c r="F13" s="10">
        <f ca="1">VLOOKUP($B13,[0]!Summary,5)</f>
        <v>10</v>
      </c>
    </row>
    <row r="14" spans="1:17">
      <c r="A14" s="1" t="str">
        <f t="shared" ca="1" si="0"/>
        <v>Saturday</v>
      </c>
      <c r="B14" s="4">
        <f t="shared" ca="1" si="1"/>
        <v>44072</v>
      </c>
      <c r="C14" s="10">
        <f ca="1">COUNTIFS(ProcessedData!$A:$A,$B14,ProcessedData!$D:$D,1)</f>
        <v>6</v>
      </c>
      <c r="D14" s="10">
        <f ca="1">COUNTIFS(ProcessedData!$A:$A,$B14,ProcessedData!$D:$D,0)</f>
        <v>0</v>
      </c>
      <c r="E14" s="10">
        <f ca="1">VLOOKUP($B14,[0]!Summary,4)</f>
        <v>10</v>
      </c>
      <c r="F14" s="10">
        <f ca="1">VLOOKUP($B14,[0]!Summary,5)</f>
        <v>10</v>
      </c>
    </row>
    <row r="15" spans="1:17">
      <c r="A15" s="1" t="str">
        <f t="shared" ca="1" si="0"/>
        <v>Friday</v>
      </c>
      <c r="B15" s="4">
        <f t="shared" ca="1" si="1"/>
        <v>44071</v>
      </c>
      <c r="C15" s="10">
        <f ca="1">COUNTIFS(ProcessedData!$A:$A,$B15,ProcessedData!$D:$D,1)</f>
        <v>9</v>
      </c>
      <c r="D15" s="10">
        <f ca="1">COUNTIFS(ProcessedData!$A:$A,$B15,ProcessedData!$D:$D,0)</f>
        <v>0</v>
      </c>
      <c r="E15" s="10">
        <f ca="1">VLOOKUP($B15,[0]!Summary,4)</f>
        <v>10</v>
      </c>
      <c r="F15" s="10">
        <f ca="1">VLOOKUP($B15,[0]!Summary,5)</f>
        <v>10</v>
      </c>
    </row>
    <row r="16" spans="1:17">
      <c r="A16" s="1" t="str">
        <f t="shared" ca="1" si="0"/>
        <v>Thursday</v>
      </c>
      <c r="B16" s="4">
        <f t="shared" ca="1" si="1"/>
        <v>44070</v>
      </c>
      <c r="C16" s="10">
        <f ca="1">COUNTIFS(ProcessedData!$A:$A,$B16,ProcessedData!$D:$D,1)</f>
        <v>11</v>
      </c>
      <c r="D16" s="10">
        <f ca="1">COUNTIFS(ProcessedData!$A:$A,$B16,ProcessedData!$D:$D,0)</f>
        <v>0</v>
      </c>
      <c r="E16" s="10">
        <f ca="1">VLOOKUP($B16,[0]!Summary,4)</f>
        <v>10</v>
      </c>
      <c r="F16" s="10">
        <f ca="1">VLOOKUP($B16,[0]!Summary,5)</f>
        <v>10</v>
      </c>
    </row>
    <row r="17" spans="1:6">
      <c r="A17" s="1" t="str">
        <f t="shared" ca="1" si="0"/>
        <v>Wednesday</v>
      </c>
      <c r="B17" s="4">
        <f t="shared" ca="1" si="1"/>
        <v>44069</v>
      </c>
      <c r="C17" s="10">
        <f ca="1">COUNTIFS(ProcessedData!$A:$A,$B17,ProcessedData!$D:$D,1)</f>
        <v>10</v>
      </c>
      <c r="D17" s="10">
        <f ca="1">COUNTIFS(ProcessedData!$A:$A,$B17,ProcessedData!$D:$D,0)</f>
        <v>0</v>
      </c>
      <c r="E17" s="10">
        <f ca="1">VLOOKUP($B17,[0]!Summary,4)</f>
        <v>12</v>
      </c>
      <c r="F17" s="10">
        <f ca="1">VLOOKUP($B17,[0]!Summary,5)</f>
        <v>10</v>
      </c>
    </row>
    <row r="18" spans="1:6">
      <c r="A18" s="18" t="str">
        <f t="shared" ca="1" si="0"/>
        <v>Tuesday</v>
      </c>
      <c r="B18" s="19">
        <f t="shared" ca="1" si="1"/>
        <v>44068</v>
      </c>
      <c r="C18" s="20">
        <f ca="1">COUNTIFS(ProcessedData!$A:$A,$B18,ProcessedData!$D:$D,1)</f>
        <v>16</v>
      </c>
      <c r="D18" s="20">
        <f ca="1">COUNTIFS(ProcessedData!$A:$A,$B18,ProcessedData!$D:$D,0)</f>
        <v>0</v>
      </c>
      <c r="E18" s="20">
        <f ca="1">VLOOKUP($B18,[0]!Summary,4)</f>
        <v>19</v>
      </c>
      <c r="F18" s="20">
        <f ca="1">VLOOKUP($B18,[0]!Summary,5)</f>
        <v>16</v>
      </c>
    </row>
    <row r="19" spans="1:6">
      <c r="B19" s="4"/>
    </row>
    <row r="20" spans="1:6">
      <c r="B20" s="4"/>
    </row>
    <row r="21" spans="1:6">
      <c r="B21" s="4"/>
    </row>
    <row r="22" spans="1:6">
      <c r="B22" s="4"/>
    </row>
    <row r="23" spans="1:6">
      <c r="B23" s="4"/>
    </row>
    <row r="24" spans="1:6">
      <c r="B24" s="4"/>
    </row>
    <row r="25" spans="1:6">
      <c r="B25" s="4"/>
    </row>
    <row r="26" spans="1:6">
      <c r="B26" s="4"/>
    </row>
    <row r="27" spans="1:6">
      <c r="B27" s="4"/>
    </row>
    <row r="28" spans="1:6">
      <c r="B28" s="4"/>
    </row>
    <row r="29" spans="1:6">
      <c r="B29" s="4"/>
    </row>
    <row r="30" spans="1:6">
      <c r="B30" s="4"/>
    </row>
    <row r="31" spans="1:6">
      <c r="B31" s="4"/>
    </row>
    <row r="32" spans="1:6">
      <c r="B32" s="4"/>
    </row>
    <row r="33" spans="2:2">
      <c r="B33" s="4"/>
    </row>
    <row r="34" spans="2:2">
      <c r="B3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DailyTotals">
                <anchor moveWithCells="1" sizeWithCells="1">
                  <from>
                    <xdr:col>11</xdr:col>
                    <xdr:colOff>228600</xdr:colOff>
                    <xdr:row>3</xdr:row>
                    <xdr:rowOff>12700</xdr:rowOff>
                  </from>
                  <to>
                    <xdr:col>15</xdr:col>
                    <xdr:colOff>101600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E39"/>
  <sheetViews>
    <sheetView workbookViewId="0">
      <pane ySplit="1" topLeftCell="A2" activePane="bottomLeft" state="frozen"/>
      <selection pane="bottomLeft" activeCell="F11" sqref="F11"/>
    </sheetView>
  </sheetViews>
  <sheetFormatPr baseColWidth="10" defaultRowHeight="16"/>
  <sheetData>
    <row r="1" spans="1:5">
      <c r="A1" t="s">
        <v>69</v>
      </c>
      <c r="B1" t="s">
        <v>63</v>
      </c>
      <c r="C1" t="s">
        <v>65</v>
      </c>
      <c r="D1" t="s">
        <v>601</v>
      </c>
      <c r="E1" t="s">
        <v>679</v>
      </c>
    </row>
    <row r="2" spans="1:5">
      <c r="A2" s="4">
        <v>44044</v>
      </c>
      <c r="B2">
        <v>7</v>
      </c>
      <c r="C2">
        <v>0</v>
      </c>
      <c r="D2">
        <v>7</v>
      </c>
      <c r="E2">
        <v>7</v>
      </c>
    </row>
    <row r="3" spans="1:5">
      <c r="A3" s="4">
        <v>44053</v>
      </c>
      <c r="B3">
        <v>8</v>
      </c>
      <c r="C3">
        <v>0</v>
      </c>
      <c r="D3">
        <v>8</v>
      </c>
      <c r="E3">
        <v>8</v>
      </c>
    </row>
    <row r="4" spans="1:5">
      <c r="A4" s="4">
        <v>44054</v>
      </c>
      <c r="B4">
        <v>15</v>
      </c>
      <c r="C4">
        <v>0</v>
      </c>
      <c r="D4">
        <v>15</v>
      </c>
      <c r="E4">
        <v>15</v>
      </c>
    </row>
    <row r="5" spans="1:5">
      <c r="A5" s="4">
        <v>44055</v>
      </c>
      <c r="B5">
        <v>8</v>
      </c>
      <c r="C5">
        <v>0</v>
      </c>
      <c r="D5">
        <v>8</v>
      </c>
      <c r="E5">
        <v>8</v>
      </c>
    </row>
    <row r="6" spans="1:5">
      <c r="A6" s="4">
        <v>44056</v>
      </c>
      <c r="B6">
        <v>11</v>
      </c>
      <c r="C6">
        <v>0</v>
      </c>
      <c r="D6">
        <v>11</v>
      </c>
      <c r="E6">
        <v>11</v>
      </c>
    </row>
    <row r="7" spans="1:5">
      <c r="A7" s="4">
        <v>44057</v>
      </c>
      <c r="B7">
        <v>11</v>
      </c>
      <c r="C7">
        <v>0</v>
      </c>
      <c r="D7">
        <v>11</v>
      </c>
      <c r="E7">
        <v>11</v>
      </c>
    </row>
    <row r="8" spans="1:5">
      <c r="A8" s="4">
        <v>44058</v>
      </c>
      <c r="B8">
        <v>9</v>
      </c>
      <c r="C8">
        <v>0</v>
      </c>
      <c r="D8">
        <v>9</v>
      </c>
      <c r="E8">
        <v>9</v>
      </c>
    </row>
    <row r="9" spans="1:5">
      <c r="A9" s="4">
        <v>44059</v>
      </c>
      <c r="B9">
        <v>7</v>
      </c>
      <c r="C9">
        <v>0</v>
      </c>
      <c r="D9">
        <v>7</v>
      </c>
      <c r="E9">
        <v>7</v>
      </c>
    </row>
    <row r="10" spans="1:5">
      <c r="A10" s="4">
        <v>44060</v>
      </c>
      <c r="B10">
        <v>7</v>
      </c>
      <c r="C10">
        <v>0</v>
      </c>
      <c r="D10">
        <v>7</v>
      </c>
      <c r="E10">
        <v>7</v>
      </c>
    </row>
    <row r="11" spans="1:5">
      <c r="A11" s="4">
        <v>44061</v>
      </c>
      <c r="B11">
        <v>5</v>
      </c>
      <c r="C11">
        <v>0</v>
      </c>
      <c r="D11">
        <v>7</v>
      </c>
      <c r="E11">
        <v>5</v>
      </c>
    </row>
    <row r="12" spans="1:5">
      <c r="A12" s="4">
        <v>44062</v>
      </c>
      <c r="B12">
        <v>10</v>
      </c>
      <c r="C12">
        <v>0</v>
      </c>
      <c r="D12">
        <v>14</v>
      </c>
      <c r="E12">
        <v>10</v>
      </c>
    </row>
    <row r="13" spans="1:5">
      <c r="A13" s="4">
        <v>44045</v>
      </c>
      <c r="B13">
        <v>12</v>
      </c>
      <c r="C13">
        <v>0</v>
      </c>
      <c r="D13">
        <v>12</v>
      </c>
      <c r="E13">
        <v>12</v>
      </c>
    </row>
    <row r="14" spans="1:5">
      <c r="A14" s="4">
        <v>44063</v>
      </c>
      <c r="B14">
        <v>11</v>
      </c>
      <c r="C14">
        <v>0</v>
      </c>
      <c r="D14">
        <v>12</v>
      </c>
      <c r="E14">
        <v>11</v>
      </c>
    </row>
    <row r="15" spans="1:5">
      <c r="A15" s="4">
        <v>44064</v>
      </c>
      <c r="B15">
        <v>15</v>
      </c>
      <c r="C15">
        <v>0</v>
      </c>
      <c r="D15">
        <v>17</v>
      </c>
      <c r="E15">
        <v>15</v>
      </c>
    </row>
    <row r="16" spans="1:5">
      <c r="A16" s="4">
        <v>44065</v>
      </c>
      <c r="B16">
        <v>16</v>
      </c>
      <c r="C16">
        <v>0</v>
      </c>
      <c r="D16">
        <v>15</v>
      </c>
      <c r="E16">
        <v>16</v>
      </c>
    </row>
    <row r="17" spans="1:5">
      <c r="A17" s="4">
        <v>44066</v>
      </c>
      <c r="B17">
        <v>10</v>
      </c>
      <c r="C17">
        <v>0</v>
      </c>
      <c r="D17">
        <v>12</v>
      </c>
      <c r="E17">
        <v>10</v>
      </c>
    </row>
    <row r="18" spans="1:5">
      <c r="A18" s="4">
        <v>44067</v>
      </c>
      <c r="B18">
        <v>17</v>
      </c>
      <c r="C18">
        <v>0</v>
      </c>
      <c r="D18">
        <v>18</v>
      </c>
      <c r="E18">
        <v>17</v>
      </c>
    </row>
    <row r="19" spans="1:5">
      <c r="A19" s="4">
        <v>44068</v>
      </c>
      <c r="B19">
        <v>16</v>
      </c>
      <c r="C19">
        <v>0</v>
      </c>
      <c r="D19">
        <v>19</v>
      </c>
      <c r="E19">
        <v>16</v>
      </c>
    </row>
    <row r="20" spans="1:5">
      <c r="A20" s="4">
        <v>44069</v>
      </c>
      <c r="B20">
        <v>10</v>
      </c>
      <c r="C20">
        <v>0</v>
      </c>
      <c r="D20">
        <v>12</v>
      </c>
      <c r="E20">
        <v>10</v>
      </c>
    </row>
    <row r="21" spans="1:5">
      <c r="A21" s="4">
        <v>44070</v>
      </c>
      <c r="B21">
        <v>11</v>
      </c>
      <c r="C21">
        <v>0</v>
      </c>
      <c r="D21">
        <v>14</v>
      </c>
      <c r="E21">
        <v>11</v>
      </c>
    </row>
    <row r="22" spans="1:5">
      <c r="A22" s="4">
        <v>44071</v>
      </c>
      <c r="B22">
        <v>9</v>
      </c>
      <c r="C22">
        <v>0</v>
      </c>
      <c r="D22">
        <v>11</v>
      </c>
      <c r="E22">
        <v>9</v>
      </c>
    </row>
    <row r="23" spans="1:5">
      <c r="A23" s="4">
        <v>44072</v>
      </c>
      <c r="B23">
        <v>6</v>
      </c>
      <c r="C23">
        <v>0</v>
      </c>
      <c r="D23">
        <v>7</v>
      </c>
      <c r="E23">
        <v>6</v>
      </c>
    </row>
    <row r="24" spans="1:5">
      <c r="A24" s="4">
        <v>44046</v>
      </c>
      <c r="B24">
        <v>7</v>
      </c>
      <c r="C24">
        <v>0</v>
      </c>
      <c r="D24">
        <v>7</v>
      </c>
      <c r="E24">
        <v>7</v>
      </c>
    </row>
    <row r="25" spans="1:5">
      <c r="A25" s="4">
        <v>44073</v>
      </c>
      <c r="B25">
        <v>9</v>
      </c>
      <c r="C25">
        <v>0</v>
      </c>
      <c r="D25">
        <v>10</v>
      </c>
      <c r="E25">
        <v>9</v>
      </c>
    </row>
    <row r="26" spans="1:5">
      <c r="A26" s="4">
        <v>44074</v>
      </c>
      <c r="B26">
        <v>15</v>
      </c>
      <c r="C26">
        <v>0</v>
      </c>
      <c r="D26">
        <v>15</v>
      </c>
      <c r="E26">
        <v>15</v>
      </c>
    </row>
    <row r="27" spans="1:5">
      <c r="A27" s="4">
        <v>44047</v>
      </c>
      <c r="B27">
        <v>5</v>
      </c>
      <c r="C27">
        <v>0</v>
      </c>
      <c r="D27">
        <v>5</v>
      </c>
      <c r="E27">
        <v>5</v>
      </c>
    </row>
    <row r="28" spans="1:5">
      <c r="A28" s="4">
        <v>44048</v>
      </c>
      <c r="B28">
        <v>6</v>
      </c>
      <c r="C28">
        <v>0</v>
      </c>
      <c r="D28">
        <v>6</v>
      </c>
      <c r="E28">
        <v>6</v>
      </c>
    </row>
    <row r="29" spans="1:5">
      <c r="A29" s="4">
        <v>44049</v>
      </c>
      <c r="B29">
        <v>7</v>
      </c>
      <c r="C29">
        <v>0</v>
      </c>
      <c r="D29">
        <v>7</v>
      </c>
      <c r="E29">
        <v>7</v>
      </c>
    </row>
    <row r="30" spans="1:5">
      <c r="A30" s="4">
        <v>44050</v>
      </c>
      <c r="B30">
        <v>17</v>
      </c>
      <c r="C30">
        <v>0</v>
      </c>
      <c r="D30">
        <v>19</v>
      </c>
      <c r="E30">
        <v>17</v>
      </c>
    </row>
    <row r="31" spans="1:5">
      <c r="A31" s="4">
        <v>44051</v>
      </c>
      <c r="B31">
        <v>13</v>
      </c>
      <c r="C31">
        <v>0</v>
      </c>
      <c r="D31">
        <v>13</v>
      </c>
      <c r="E31">
        <v>13</v>
      </c>
    </row>
    <row r="32" spans="1:5">
      <c r="A32" s="4">
        <v>40399</v>
      </c>
      <c r="B32">
        <v>10</v>
      </c>
      <c r="C32">
        <v>0</v>
      </c>
      <c r="D32">
        <v>10</v>
      </c>
      <c r="E32">
        <v>10</v>
      </c>
    </row>
    <row r="33" spans="1:5">
      <c r="A33" s="4">
        <v>44075</v>
      </c>
      <c r="B33">
        <v>10</v>
      </c>
      <c r="C33">
        <v>0</v>
      </c>
      <c r="D33">
        <v>11</v>
      </c>
      <c r="E33">
        <v>10</v>
      </c>
    </row>
    <row r="34" spans="1:5">
      <c r="A34" s="4">
        <v>44076</v>
      </c>
      <c r="B34">
        <v>11</v>
      </c>
      <c r="C34">
        <v>0</v>
      </c>
      <c r="D34">
        <v>13</v>
      </c>
      <c r="E34">
        <v>11</v>
      </c>
    </row>
    <row r="35" spans="1:5">
      <c r="A35" s="4">
        <v>44077</v>
      </c>
      <c r="B35">
        <v>11</v>
      </c>
      <c r="C35">
        <v>0</v>
      </c>
      <c r="D35">
        <v>12</v>
      </c>
      <c r="E35">
        <v>11</v>
      </c>
    </row>
    <row r="36" spans="1:5">
      <c r="A36" s="4">
        <v>44078</v>
      </c>
      <c r="B36">
        <v>0</v>
      </c>
      <c r="C36">
        <v>21</v>
      </c>
      <c r="D36">
        <v>25</v>
      </c>
      <c r="E36">
        <v>21</v>
      </c>
    </row>
    <row r="37" spans="1:5">
      <c r="A37" t="s">
        <v>36</v>
      </c>
      <c r="B37">
        <v>0</v>
      </c>
      <c r="C37">
        <v>31</v>
      </c>
      <c r="D37">
        <v>41</v>
      </c>
      <c r="E37">
        <v>31</v>
      </c>
    </row>
    <row r="38" spans="1:5">
      <c r="A38" t="s">
        <v>18</v>
      </c>
      <c r="B38">
        <v>0</v>
      </c>
      <c r="C38">
        <v>26</v>
      </c>
      <c r="D38">
        <v>34</v>
      </c>
      <c r="E38">
        <v>26</v>
      </c>
    </row>
    <row r="39" spans="1:5">
      <c r="A39" t="s">
        <v>0</v>
      </c>
      <c r="B39">
        <v>0</v>
      </c>
      <c r="C39">
        <v>27</v>
      </c>
      <c r="D39">
        <v>35</v>
      </c>
      <c r="E39">
        <v>27</v>
      </c>
    </row>
  </sheetData>
  <sortState xmlns:xlrd2="http://schemas.microsoft.com/office/spreadsheetml/2017/richdata2" ref="A2:E36">
    <sortCondition ref="A2:A3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58"/>
  <sheetViews>
    <sheetView zoomScaleNormal="100" workbookViewId="0"/>
  </sheetViews>
  <sheetFormatPr baseColWidth="10" defaultColWidth="10.83203125" defaultRowHeight="16"/>
  <cols>
    <col min="1" max="1" width="13.6640625" bestFit="1" customWidth="1"/>
    <col min="2" max="2" width="13.6640625" customWidth="1"/>
    <col min="4" max="4" width="12.6640625" bestFit="1" customWidth="1"/>
  </cols>
  <sheetData>
    <row r="1" spans="1:5">
      <c r="A1" t="s">
        <v>69</v>
      </c>
      <c r="B1" t="s">
        <v>107</v>
      </c>
      <c r="C1" t="s">
        <v>70</v>
      </c>
      <c r="D1" t="s">
        <v>71</v>
      </c>
      <c r="E1" t="s">
        <v>601</v>
      </c>
    </row>
    <row r="2" spans="1:5">
      <c r="A2" s="4" t="s">
        <v>0</v>
      </c>
      <c r="C2" t="s">
        <v>72</v>
      </c>
      <c r="D2">
        <v>0</v>
      </c>
      <c r="E2">
        <v>1</v>
      </c>
    </row>
    <row r="3" spans="1:5">
      <c r="A3" s="4" t="s">
        <v>0</v>
      </c>
      <c r="C3" t="s">
        <v>555</v>
      </c>
      <c r="D3">
        <v>0</v>
      </c>
      <c r="E3">
        <v>2</v>
      </c>
    </row>
    <row r="4" spans="1:5">
      <c r="A4" s="4" t="s">
        <v>0</v>
      </c>
      <c r="C4" t="s">
        <v>556</v>
      </c>
      <c r="D4">
        <v>0</v>
      </c>
      <c r="E4">
        <v>2</v>
      </c>
    </row>
    <row r="5" spans="1:5">
      <c r="A5" s="4" t="s">
        <v>0</v>
      </c>
      <c r="C5" t="s">
        <v>73</v>
      </c>
      <c r="D5">
        <v>0</v>
      </c>
      <c r="E5">
        <v>1</v>
      </c>
    </row>
    <row r="6" spans="1:5">
      <c r="A6" s="4" t="s">
        <v>0</v>
      </c>
      <c r="C6" t="s">
        <v>75</v>
      </c>
      <c r="D6">
        <v>0</v>
      </c>
      <c r="E6">
        <v>1</v>
      </c>
    </row>
    <row r="7" spans="1:5">
      <c r="A7" s="4" t="s">
        <v>0</v>
      </c>
      <c r="C7" t="s">
        <v>74</v>
      </c>
      <c r="D7">
        <v>0</v>
      </c>
      <c r="E7">
        <v>1</v>
      </c>
    </row>
    <row r="8" spans="1:5">
      <c r="A8" s="4" t="s">
        <v>0</v>
      </c>
      <c r="C8" t="s">
        <v>557</v>
      </c>
      <c r="D8">
        <v>0</v>
      </c>
      <c r="E8">
        <v>2</v>
      </c>
    </row>
    <row r="9" spans="1:5">
      <c r="A9" s="4" t="s">
        <v>0</v>
      </c>
      <c r="C9" t="s">
        <v>76</v>
      </c>
      <c r="D9">
        <v>0</v>
      </c>
      <c r="E9">
        <v>1</v>
      </c>
    </row>
    <row r="10" spans="1:5">
      <c r="A10" s="4" t="s">
        <v>0</v>
      </c>
      <c r="C10" t="s">
        <v>77</v>
      </c>
      <c r="D10">
        <v>0</v>
      </c>
      <c r="E10">
        <v>1</v>
      </c>
    </row>
    <row r="11" spans="1:5">
      <c r="A11" s="4" t="s">
        <v>0</v>
      </c>
      <c r="C11" t="s">
        <v>78</v>
      </c>
      <c r="D11">
        <v>0</v>
      </c>
      <c r="E11">
        <v>1</v>
      </c>
    </row>
    <row r="12" spans="1:5">
      <c r="A12" s="4" t="s">
        <v>0</v>
      </c>
      <c r="C12" t="s">
        <v>79</v>
      </c>
      <c r="D12">
        <v>0</v>
      </c>
      <c r="E12">
        <v>1</v>
      </c>
    </row>
    <row r="13" spans="1:5">
      <c r="A13" s="4" t="s">
        <v>0</v>
      </c>
      <c r="C13" t="s">
        <v>254</v>
      </c>
      <c r="D13">
        <v>0</v>
      </c>
      <c r="E13">
        <v>1</v>
      </c>
    </row>
    <row r="14" spans="1:5">
      <c r="A14" s="4" t="s">
        <v>0</v>
      </c>
      <c r="C14" t="s">
        <v>604</v>
      </c>
      <c r="D14">
        <v>0</v>
      </c>
      <c r="E14">
        <v>3</v>
      </c>
    </row>
    <row r="15" spans="1:5">
      <c r="A15" s="4" t="s">
        <v>0</v>
      </c>
      <c r="C15" t="s">
        <v>558</v>
      </c>
      <c r="D15">
        <v>0</v>
      </c>
      <c r="E15">
        <v>2</v>
      </c>
    </row>
    <row r="16" spans="1:5">
      <c r="A16" s="4" t="s">
        <v>0</v>
      </c>
      <c r="C16" t="s">
        <v>80</v>
      </c>
      <c r="D16">
        <v>0</v>
      </c>
      <c r="E16">
        <v>1</v>
      </c>
    </row>
    <row r="17" spans="1:5">
      <c r="A17" s="4" t="s">
        <v>0</v>
      </c>
      <c r="C17" t="s">
        <v>81</v>
      </c>
      <c r="D17">
        <v>0</v>
      </c>
      <c r="E17">
        <v>1</v>
      </c>
    </row>
    <row r="18" spans="1:5">
      <c r="A18" s="4" t="s">
        <v>0</v>
      </c>
      <c r="C18" t="s">
        <v>82</v>
      </c>
      <c r="D18">
        <v>0</v>
      </c>
      <c r="E18">
        <v>1</v>
      </c>
    </row>
    <row r="19" spans="1:5">
      <c r="A19" s="4" t="s">
        <v>0</v>
      </c>
      <c r="C19" t="s">
        <v>83</v>
      </c>
      <c r="D19">
        <v>0</v>
      </c>
      <c r="E19">
        <v>1</v>
      </c>
    </row>
    <row r="20" spans="1:5">
      <c r="A20" s="4" t="s">
        <v>0</v>
      </c>
      <c r="C20" t="s">
        <v>84</v>
      </c>
      <c r="D20">
        <v>0</v>
      </c>
      <c r="E20">
        <v>1</v>
      </c>
    </row>
    <row r="21" spans="1:5">
      <c r="A21" s="4" t="s">
        <v>0</v>
      </c>
      <c r="C21" t="s">
        <v>559</v>
      </c>
      <c r="D21">
        <v>0</v>
      </c>
      <c r="E21">
        <v>2</v>
      </c>
    </row>
    <row r="22" spans="1:5">
      <c r="A22" s="4" t="s">
        <v>0</v>
      </c>
      <c r="C22" t="s">
        <v>85</v>
      </c>
      <c r="D22">
        <v>0</v>
      </c>
      <c r="E22">
        <v>1</v>
      </c>
    </row>
    <row r="23" spans="1:5">
      <c r="A23" s="4" t="s">
        <v>0</v>
      </c>
      <c r="C23" t="s">
        <v>86</v>
      </c>
      <c r="D23">
        <v>0</v>
      </c>
      <c r="E23">
        <v>1</v>
      </c>
    </row>
    <row r="24" spans="1:5">
      <c r="A24" s="4" t="s">
        <v>0</v>
      </c>
      <c r="C24" t="s">
        <v>560</v>
      </c>
      <c r="D24">
        <v>0</v>
      </c>
      <c r="E24">
        <v>2</v>
      </c>
    </row>
    <row r="25" spans="1:5">
      <c r="A25" s="4" t="s">
        <v>0</v>
      </c>
      <c r="C25" t="s">
        <v>156</v>
      </c>
      <c r="D25">
        <v>0</v>
      </c>
      <c r="E25">
        <v>1</v>
      </c>
    </row>
    <row r="26" spans="1:5">
      <c r="A26" s="4" t="s">
        <v>0</v>
      </c>
      <c r="C26" t="s">
        <v>87</v>
      </c>
      <c r="D26">
        <v>0</v>
      </c>
      <c r="E26">
        <v>1</v>
      </c>
    </row>
    <row r="27" spans="1:5">
      <c r="A27" s="4" t="s">
        <v>0</v>
      </c>
      <c r="C27" t="s">
        <v>88</v>
      </c>
      <c r="D27">
        <v>0</v>
      </c>
      <c r="E27">
        <v>1</v>
      </c>
    </row>
    <row r="28" spans="1:5">
      <c r="A28" s="4" t="s">
        <v>0</v>
      </c>
      <c r="B28" s="4"/>
      <c r="C28" t="s">
        <v>561</v>
      </c>
      <c r="D28">
        <v>0</v>
      </c>
      <c r="E28">
        <v>1</v>
      </c>
    </row>
    <row r="29" spans="1:5">
      <c r="A29" s="4" t="s">
        <v>18</v>
      </c>
      <c r="B29" s="4"/>
      <c r="C29" t="s">
        <v>89</v>
      </c>
      <c r="D29">
        <v>0</v>
      </c>
      <c r="E29">
        <v>1</v>
      </c>
    </row>
    <row r="30" spans="1:5">
      <c r="A30" s="4" t="s">
        <v>18</v>
      </c>
      <c r="B30" s="4"/>
      <c r="C30" t="s">
        <v>562</v>
      </c>
      <c r="D30">
        <v>0</v>
      </c>
      <c r="E30">
        <v>2</v>
      </c>
    </row>
    <row r="31" spans="1:5">
      <c r="A31" s="4" t="s">
        <v>18</v>
      </c>
      <c r="B31" s="4"/>
      <c r="C31" t="s">
        <v>90</v>
      </c>
      <c r="D31">
        <v>0</v>
      </c>
      <c r="E31">
        <v>1</v>
      </c>
    </row>
    <row r="32" spans="1:5">
      <c r="A32" s="4" t="s">
        <v>18</v>
      </c>
      <c r="B32" s="4"/>
      <c r="C32" t="s">
        <v>563</v>
      </c>
      <c r="D32">
        <v>0</v>
      </c>
      <c r="E32">
        <v>2</v>
      </c>
    </row>
    <row r="33" spans="1:5">
      <c r="A33" s="4" t="s">
        <v>18</v>
      </c>
      <c r="B33" s="4"/>
      <c r="C33" t="s">
        <v>91</v>
      </c>
      <c r="D33">
        <v>0</v>
      </c>
      <c r="E33">
        <v>1</v>
      </c>
    </row>
    <row r="34" spans="1:5">
      <c r="A34" s="4" t="s">
        <v>18</v>
      </c>
      <c r="B34" s="4"/>
      <c r="C34" t="s">
        <v>92</v>
      </c>
      <c r="D34">
        <v>0</v>
      </c>
      <c r="E34">
        <v>1</v>
      </c>
    </row>
    <row r="35" spans="1:5">
      <c r="A35" s="4" t="s">
        <v>18</v>
      </c>
      <c r="B35" s="4"/>
      <c r="C35" t="s">
        <v>564</v>
      </c>
      <c r="D35">
        <v>0</v>
      </c>
      <c r="E35">
        <v>2</v>
      </c>
    </row>
    <row r="36" spans="1:5">
      <c r="A36" s="4" t="s">
        <v>18</v>
      </c>
      <c r="B36" s="4"/>
      <c r="C36" t="s">
        <v>565</v>
      </c>
      <c r="D36">
        <v>0</v>
      </c>
      <c r="E36">
        <v>2</v>
      </c>
    </row>
    <row r="37" spans="1:5">
      <c r="A37" s="4" t="s">
        <v>18</v>
      </c>
      <c r="B37" s="4"/>
      <c r="C37" t="s">
        <v>93</v>
      </c>
      <c r="D37">
        <v>0</v>
      </c>
      <c r="E37">
        <v>1</v>
      </c>
    </row>
    <row r="38" spans="1:5">
      <c r="A38" s="4" t="s">
        <v>18</v>
      </c>
      <c r="B38" s="4"/>
      <c r="C38" t="s">
        <v>94</v>
      </c>
      <c r="D38">
        <v>0</v>
      </c>
      <c r="E38">
        <v>1</v>
      </c>
    </row>
    <row r="39" spans="1:5">
      <c r="A39" s="4" t="s">
        <v>18</v>
      </c>
      <c r="B39" s="4"/>
      <c r="C39" t="s">
        <v>95</v>
      </c>
      <c r="D39">
        <v>0</v>
      </c>
      <c r="E39">
        <v>1</v>
      </c>
    </row>
    <row r="40" spans="1:5">
      <c r="A40" s="4" t="s">
        <v>18</v>
      </c>
      <c r="B40" s="4"/>
      <c r="C40" t="s">
        <v>96</v>
      </c>
      <c r="D40">
        <v>0</v>
      </c>
      <c r="E40">
        <v>1</v>
      </c>
    </row>
    <row r="41" spans="1:5">
      <c r="A41" s="4" t="s">
        <v>18</v>
      </c>
      <c r="B41" s="4"/>
      <c r="C41" t="s">
        <v>97</v>
      </c>
      <c r="D41">
        <v>0</v>
      </c>
      <c r="E41">
        <v>1</v>
      </c>
    </row>
    <row r="42" spans="1:5">
      <c r="A42" s="4" t="s">
        <v>18</v>
      </c>
      <c r="B42" s="4"/>
      <c r="C42" t="s">
        <v>566</v>
      </c>
      <c r="D42">
        <v>0</v>
      </c>
      <c r="E42">
        <v>2</v>
      </c>
    </row>
    <row r="43" spans="1:5">
      <c r="A43" s="4" t="s">
        <v>18</v>
      </c>
      <c r="B43" s="4"/>
      <c r="C43" t="s">
        <v>98</v>
      </c>
      <c r="D43">
        <v>0</v>
      </c>
      <c r="E43">
        <v>1</v>
      </c>
    </row>
    <row r="44" spans="1:5">
      <c r="A44" s="4" t="s">
        <v>18</v>
      </c>
      <c r="B44" s="4"/>
      <c r="C44" t="s">
        <v>567</v>
      </c>
      <c r="D44">
        <v>0</v>
      </c>
      <c r="E44">
        <v>2</v>
      </c>
    </row>
    <row r="45" spans="1:5">
      <c r="A45" s="4" t="s">
        <v>18</v>
      </c>
      <c r="B45" s="4"/>
      <c r="C45" t="s">
        <v>99</v>
      </c>
      <c r="D45">
        <v>0</v>
      </c>
      <c r="E45">
        <v>1</v>
      </c>
    </row>
    <row r="46" spans="1:5">
      <c r="A46" s="4" t="s">
        <v>18</v>
      </c>
      <c r="B46" s="4"/>
      <c r="C46" t="s">
        <v>100</v>
      </c>
      <c r="D46">
        <v>0</v>
      </c>
      <c r="E46">
        <v>1</v>
      </c>
    </row>
    <row r="47" spans="1:5">
      <c r="A47" s="4" t="s">
        <v>18</v>
      </c>
      <c r="B47" s="4"/>
      <c r="C47" t="s">
        <v>101</v>
      </c>
      <c r="D47">
        <v>0</v>
      </c>
      <c r="E47">
        <v>1</v>
      </c>
    </row>
    <row r="48" spans="1:5">
      <c r="A48" s="4" t="s">
        <v>18</v>
      </c>
      <c r="B48" s="4"/>
      <c r="C48" t="s">
        <v>605</v>
      </c>
      <c r="D48">
        <v>0</v>
      </c>
      <c r="E48">
        <v>3</v>
      </c>
    </row>
    <row r="49" spans="1:5">
      <c r="A49" s="4" t="s">
        <v>18</v>
      </c>
      <c r="B49" s="4"/>
      <c r="C49" t="s">
        <v>102</v>
      </c>
      <c r="D49">
        <v>0</v>
      </c>
      <c r="E49">
        <v>1</v>
      </c>
    </row>
    <row r="50" spans="1:5">
      <c r="A50" s="4" t="s">
        <v>18</v>
      </c>
      <c r="B50" s="4"/>
      <c r="C50" t="s">
        <v>103</v>
      </c>
      <c r="D50">
        <v>0</v>
      </c>
      <c r="E50">
        <v>1</v>
      </c>
    </row>
    <row r="51" spans="1:5">
      <c r="A51" s="4" t="s">
        <v>18</v>
      </c>
      <c r="B51" s="4"/>
      <c r="C51" t="s">
        <v>104</v>
      </c>
      <c r="D51">
        <v>0</v>
      </c>
      <c r="E51">
        <v>1</v>
      </c>
    </row>
    <row r="52" spans="1:5">
      <c r="A52" s="4" t="s">
        <v>18</v>
      </c>
      <c r="B52" s="4"/>
      <c r="C52" t="s">
        <v>105</v>
      </c>
      <c r="D52">
        <v>0</v>
      </c>
      <c r="E52">
        <v>1</v>
      </c>
    </row>
    <row r="53" spans="1:5">
      <c r="A53" s="4" t="s">
        <v>18</v>
      </c>
      <c r="B53" s="4"/>
      <c r="C53" t="s">
        <v>666</v>
      </c>
      <c r="D53">
        <v>0</v>
      </c>
      <c r="E53">
        <v>1</v>
      </c>
    </row>
    <row r="54" spans="1:5">
      <c r="A54" s="4" t="s">
        <v>18</v>
      </c>
      <c r="B54" s="4"/>
      <c r="C54" t="s">
        <v>728</v>
      </c>
      <c r="D54">
        <v>0</v>
      </c>
      <c r="E54">
        <v>1</v>
      </c>
    </row>
    <row r="55" spans="1:5">
      <c r="A55" s="4" t="s">
        <v>36</v>
      </c>
      <c r="B55" s="4"/>
      <c r="C55" t="s">
        <v>164</v>
      </c>
      <c r="D55">
        <v>0</v>
      </c>
      <c r="E55">
        <v>1</v>
      </c>
    </row>
    <row r="56" spans="1:5">
      <c r="A56" s="4" t="s">
        <v>36</v>
      </c>
      <c r="B56" s="4"/>
      <c r="C56" t="s">
        <v>165</v>
      </c>
      <c r="D56">
        <v>0</v>
      </c>
      <c r="E56">
        <v>1</v>
      </c>
    </row>
    <row r="57" spans="1:5">
      <c r="A57" s="4" t="s">
        <v>36</v>
      </c>
      <c r="B57" s="4"/>
      <c r="C57" t="s">
        <v>166</v>
      </c>
      <c r="D57">
        <v>0</v>
      </c>
      <c r="E57">
        <v>1</v>
      </c>
    </row>
    <row r="58" spans="1:5">
      <c r="A58" s="4" t="s">
        <v>36</v>
      </c>
      <c r="C58" t="s">
        <v>167</v>
      </c>
      <c r="D58">
        <v>0</v>
      </c>
      <c r="E58">
        <v>1</v>
      </c>
    </row>
    <row r="59" spans="1:5">
      <c r="A59" s="4" t="s">
        <v>36</v>
      </c>
      <c r="C59" t="s">
        <v>168</v>
      </c>
      <c r="D59">
        <v>0</v>
      </c>
      <c r="E59">
        <v>1</v>
      </c>
    </row>
    <row r="60" spans="1:5">
      <c r="A60" s="4" t="s">
        <v>36</v>
      </c>
      <c r="C60" t="s">
        <v>169</v>
      </c>
      <c r="D60">
        <v>0</v>
      </c>
      <c r="E60">
        <v>1</v>
      </c>
    </row>
    <row r="61" spans="1:5">
      <c r="A61" s="4" t="s">
        <v>36</v>
      </c>
      <c r="C61" t="s">
        <v>568</v>
      </c>
      <c r="D61">
        <v>0</v>
      </c>
      <c r="E61">
        <v>2</v>
      </c>
    </row>
    <row r="62" spans="1:5">
      <c r="A62" s="4" t="s">
        <v>36</v>
      </c>
      <c r="C62" t="s">
        <v>569</v>
      </c>
      <c r="D62">
        <v>0</v>
      </c>
      <c r="E62">
        <v>2</v>
      </c>
    </row>
    <row r="63" spans="1:5">
      <c r="A63" s="4" t="s">
        <v>36</v>
      </c>
      <c r="C63" t="s">
        <v>570</v>
      </c>
      <c r="D63">
        <v>0</v>
      </c>
      <c r="E63">
        <v>2</v>
      </c>
    </row>
    <row r="64" spans="1:5">
      <c r="A64" s="4" t="s">
        <v>36</v>
      </c>
      <c r="C64" t="s">
        <v>571</v>
      </c>
      <c r="D64">
        <v>0</v>
      </c>
      <c r="E64">
        <v>2</v>
      </c>
    </row>
    <row r="65" spans="1:5">
      <c r="A65" s="4" t="s">
        <v>36</v>
      </c>
      <c r="C65" t="s">
        <v>271</v>
      </c>
      <c r="D65">
        <v>0</v>
      </c>
      <c r="E65">
        <v>1</v>
      </c>
    </row>
    <row r="66" spans="1:5">
      <c r="A66" s="4" t="s">
        <v>36</v>
      </c>
      <c r="C66" t="s">
        <v>170</v>
      </c>
      <c r="D66">
        <v>0</v>
      </c>
      <c r="E66">
        <v>1</v>
      </c>
    </row>
    <row r="67" spans="1:5">
      <c r="A67" s="4" t="s">
        <v>36</v>
      </c>
      <c r="C67" t="s">
        <v>171</v>
      </c>
      <c r="D67">
        <v>0</v>
      </c>
      <c r="E67">
        <v>1</v>
      </c>
    </row>
    <row r="68" spans="1:5">
      <c r="A68" s="4" t="s">
        <v>36</v>
      </c>
      <c r="C68" t="s">
        <v>572</v>
      </c>
      <c r="D68">
        <v>0</v>
      </c>
      <c r="E68">
        <v>2</v>
      </c>
    </row>
    <row r="69" spans="1:5">
      <c r="A69" s="4" t="s">
        <v>36</v>
      </c>
      <c r="C69" t="s">
        <v>573</v>
      </c>
      <c r="D69">
        <v>0</v>
      </c>
      <c r="E69">
        <v>2</v>
      </c>
    </row>
    <row r="70" spans="1:5">
      <c r="A70" s="4" t="s">
        <v>36</v>
      </c>
      <c r="C70" t="s">
        <v>574</v>
      </c>
      <c r="D70">
        <v>0</v>
      </c>
      <c r="E70">
        <v>2</v>
      </c>
    </row>
    <row r="71" spans="1:5">
      <c r="A71" s="4" t="s">
        <v>36</v>
      </c>
      <c r="C71" t="s">
        <v>173</v>
      </c>
      <c r="D71">
        <v>0</v>
      </c>
      <c r="E71">
        <v>1</v>
      </c>
    </row>
    <row r="72" spans="1:5">
      <c r="A72" s="4" t="s">
        <v>36</v>
      </c>
      <c r="C72" t="s">
        <v>575</v>
      </c>
      <c r="D72">
        <v>0</v>
      </c>
      <c r="E72">
        <v>2</v>
      </c>
    </row>
    <row r="73" spans="1:5">
      <c r="A73" s="4" t="s">
        <v>36</v>
      </c>
      <c r="C73" t="s">
        <v>576</v>
      </c>
      <c r="D73">
        <v>0</v>
      </c>
      <c r="E73">
        <v>2</v>
      </c>
    </row>
    <row r="74" spans="1:5">
      <c r="A74" s="4" t="s">
        <v>36</v>
      </c>
      <c r="C74" t="s">
        <v>577</v>
      </c>
      <c r="D74">
        <v>0</v>
      </c>
      <c r="E74">
        <v>2</v>
      </c>
    </row>
    <row r="75" spans="1:5">
      <c r="A75" s="4" t="s">
        <v>36</v>
      </c>
      <c r="C75" t="s">
        <v>194</v>
      </c>
      <c r="D75">
        <v>0</v>
      </c>
      <c r="E75">
        <v>1</v>
      </c>
    </row>
    <row r="76" spans="1:5">
      <c r="A76" s="4" t="s">
        <v>36</v>
      </c>
      <c r="C76" t="s">
        <v>632</v>
      </c>
      <c r="D76">
        <v>0</v>
      </c>
      <c r="E76">
        <v>1</v>
      </c>
    </row>
    <row r="77" spans="1:5">
      <c r="A77" s="4" t="s">
        <v>36</v>
      </c>
      <c r="C77" t="s">
        <v>633</v>
      </c>
      <c r="D77">
        <v>0</v>
      </c>
      <c r="E77">
        <v>1</v>
      </c>
    </row>
    <row r="78" spans="1:5">
      <c r="A78" s="4" t="s">
        <v>36</v>
      </c>
      <c r="C78" t="s">
        <v>634</v>
      </c>
      <c r="D78">
        <v>0</v>
      </c>
      <c r="E78">
        <v>1</v>
      </c>
    </row>
    <row r="79" spans="1:5">
      <c r="A79" s="4" t="s">
        <v>36</v>
      </c>
      <c r="C79" t="s">
        <v>635</v>
      </c>
      <c r="D79">
        <v>0</v>
      </c>
      <c r="E79">
        <v>1</v>
      </c>
    </row>
    <row r="80" spans="1:5">
      <c r="A80" s="4" t="s">
        <v>36</v>
      </c>
      <c r="C80" t="s">
        <v>382</v>
      </c>
      <c r="D80">
        <v>0</v>
      </c>
      <c r="E80">
        <v>1</v>
      </c>
    </row>
    <row r="81" spans="1:5">
      <c r="A81" s="4" t="s">
        <v>36</v>
      </c>
      <c r="C81" t="s">
        <v>188</v>
      </c>
      <c r="D81">
        <v>0</v>
      </c>
      <c r="E81">
        <v>1</v>
      </c>
    </row>
    <row r="82" spans="1:5">
      <c r="A82" s="4" t="s">
        <v>36</v>
      </c>
      <c r="C82" t="s">
        <v>195</v>
      </c>
      <c r="D82">
        <v>0</v>
      </c>
      <c r="E82">
        <v>1</v>
      </c>
    </row>
    <row r="83" spans="1:5">
      <c r="A83" s="4" t="s">
        <v>36</v>
      </c>
      <c r="C83" t="s">
        <v>708</v>
      </c>
      <c r="D83">
        <v>0</v>
      </c>
      <c r="E83">
        <v>1</v>
      </c>
    </row>
    <row r="84" spans="1:5">
      <c r="A84" s="4" t="s">
        <v>36</v>
      </c>
      <c r="C84" t="s">
        <v>729</v>
      </c>
      <c r="D84">
        <v>0</v>
      </c>
      <c r="E84">
        <v>1</v>
      </c>
    </row>
    <row r="85" spans="1:5">
      <c r="A85" s="4" t="s">
        <v>36</v>
      </c>
      <c r="C85" t="s">
        <v>742</v>
      </c>
      <c r="D85">
        <v>0</v>
      </c>
      <c r="E85">
        <v>1</v>
      </c>
    </row>
    <row r="86" spans="1:5">
      <c r="A86" s="4">
        <v>44078</v>
      </c>
      <c r="B86" t="s">
        <v>111</v>
      </c>
      <c r="C86" t="s">
        <v>175</v>
      </c>
      <c r="D86">
        <v>0</v>
      </c>
      <c r="E86">
        <v>1</v>
      </c>
    </row>
    <row r="87" spans="1:5">
      <c r="A87" s="4">
        <v>44078</v>
      </c>
      <c r="B87" t="s">
        <v>111</v>
      </c>
      <c r="C87" t="s">
        <v>690</v>
      </c>
      <c r="D87">
        <v>0</v>
      </c>
      <c r="E87">
        <v>2</v>
      </c>
    </row>
    <row r="88" spans="1:5">
      <c r="A88" s="4">
        <v>44078</v>
      </c>
      <c r="B88" t="s">
        <v>111</v>
      </c>
      <c r="C88" t="s">
        <v>743</v>
      </c>
      <c r="D88">
        <v>0</v>
      </c>
      <c r="E88">
        <v>1</v>
      </c>
    </row>
    <row r="89" spans="1:5">
      <c r="A89" s="4">
        <v>44078</v>
      </c>
      <c r="B89" t="s">
        <v>111</v>
      </c>
      <c r="C89" t="s">
        <v>579</v>
      </c>
      <c r="D89">
        <v>0</v>
      </c>
      <c r="E89">
        <v>2</v>
      </c>
    </row>
    <row r="90" spans="1:5">
      <c r="A90" s="4">
        <v>44078</v>
      </c>
      <c r="B90" t="s">
        <v>111</v>
      </c>
      <c r="C90" t="s">
        <v>744</v>
      </c>
      <c r="D90">
        <v>0</v>
      </c>
      <c r="E90">
        <v>1</v>
      </c>
    </row>
    <row r="91" spans="1:5">
      <c r="A91" s="4">
        <v>44078</v>
      </c>
      <c r="B91" t="s">
        <v>111</v>
      </c>
      <c r="C91" t="s">
        <v>745</v>
      </c>
      <c r="D91">
        <v>0</v>
      </c>
      <c r="E91">
        <v>1</v>
      </c>
    </row>
    <row r="92" spans="1:5">
      <c r="A92" s="4">
        <v>44078</v>
      </c>
      <c r="B92" t="s">
        <v>111</v>
      </c>
      <c r="C92" t="s">
        <v>746</v>
      </c>
      <c r="D92">
        <v>0</v>
      </c>
      <c r="E92">
        <v>1</v>
      </c>
    </row>
    <row r="93" spans="1:5">
      <c r="A93" s="4">
        <v>44078</v>
      </c>
      <c r="B93" t="s">
        <v>111</v>
      </c>
      <c r="C93" t="s">
        <v>747</v>
      </c>
      <c r="D93">
        <v>0</v>
      </c>
      <c r="E93">
        <v>1</v>
      </c>
    </row>
    <row r="94" spans="1:5">
      <c r="A94" s="4">
        <v>44078</v>
      </c>
      <c r="B94" t="s">
        <v>111</v>
      </c>
      <c r="C94" t="s">
        <v>193</v>
      </c>
      <c r="D94">
        <v>0</v>
      </c>
      <c r="E94">
        <v>1</v>
      </c>
    </row>
    <row r="95" spans="1:5">
      <c r="A95" s="4">
        <v>44078</v>
      </c>
      <c r="B95" t="s">
        <v>111</v>
      </c>
      <c r="C95" t="s">
        <v>191</v>
      </c>
      <c r="D95">
        <v>0</v>
      </c>
      <c r="E95">
        <v>1</v>
      </c>
    </row>
    <row r="96" spans="1:5">
      <c r="A96" s="4">
        <v>44078</v>
      </c>
      <c r="B96" t="s">
        <v>111</v>
      </c>
      <c r="C96" t="s">
        <v>493</v>
      </c>
      <c r="D96">
        <v>0</v>
      </c>
      <c r="E96">
        <v>1</v>
      </c>
    </row>
    <row r="97" spans="1:5">
      <c r="A97" s="4">
        <v>44078</v>
      </c>
      <c r="B97" t="s">
        <v>111</v>
      </c>
      <c r="C97" t="s">
        <v>581</v>
      </c>
      <c r="D97">
        <v>0</v>
      </c>
      <c r="E97">
        <v>2</v>
      </c>
    </row>
    <row r="98" spans="1:5">
      <c r="A98" s="4">
        <v>44078</v>
      </c>
      <c r="B98" t="s">
        <v>111</v>
      </c>
      <c r="C98" t="s">
        <v>196</v>
      </c>
      <c r="D98">
        <v>0</v>
      </c>
      <c r="E98">
        <v>1</v>
      </c>
    </row>
    <row r="99" spans="1:5">
      <c r="A99" s="4">
        <v>44078</v>
      </c>
      <c r="B99" t="s">
        <v>111</v>
      </c>
      <c r="C99" t="s">
        <v>186</v>
      </c>
      <c r="D99">
        <v>0</v>
      </c>
      <c r="E99">
        <v>1</v>
      </c>
    </row>
    <row r="100" spans="1:5">
      <c r="A100" s="4">
        <v>44078</v>
      </c>
      <c r="B100" t="s">
        <v>111</v>
      </c>
      <c r="C100" t="s">
        <v>176</v>
      </c>
      <c r="D100">
        <v>0</v>
      </c>
      <c r="E100">
        <v>1</v>
      </c>
    </row>
    <row r="101" spans="1:5">
      <c r="A101" s="4">
        <v>44078</v>
      </c>
      <c r="B101" t="s">
        <v>111</v>
      </c>
      <c r="C101" t="s">
        <v>709</v>
      </c>
      <c r="D101">
        <v>0</v>
      </c>
      <c r="E101">
        <v>1</v>
      </c>
    </row>
    <row r="102" spans="1:5">
      <c r="A102" s="4">
        <v>44078</v>
      </c>
      <c r="B102" t="s">
        <v>111</v>
      </c>
      <c r="C102" t="s">
        <v>580</v>
      </c>
      <c r="D102">
        <v>0</v>
      </c>
      <c r="E102">
        <v>2</v>
      </c>
    </row>
    <row r="103" spans="1:5">
      <c r="A103" s="4">
        <v>44078</v>
      </c>
      <c r="B103" t="s">
        <v>111</v>
      </c>
      <c r="C103" t="s">
        <v>177</v>
      </c>
      <c r="D103">
        <v>0</v>
      </c>
      <c r="E103">
        <v>1</v>
      </c>
    </row>
    <row r="104" spans="1:5">
      <c r="A104" s="4">
        <v>44078</v>
      </c>
      <c r="B104" t="s">
        <v>111</v>
      </c>
      <c r="C104" t="s">
        <v>179</v>
      </c>
      <c r="D104">
        <v>0</v>
      </c>
      <c r="E104">
        <v>1</v>
      </c>
    </row>
    <row r="105" spans="1:5">
      <c r="A105" s="4">
        <v>44078</v>
      </c>
      <c r="B105" t="s">
        <v>111</v>
      </c>
      <c r="C105" t="s">
        <v>181</v>
      </c>
      <c r="D105">
        <v>0</v>
      </c>
      <c r="E105">
        <v>1</v>
      </c>
    </row>
    <row r="106" spans="1:5">
      <c r="A106" s="4">
        <v>44078</v>
      </c>
      <c r="B106" t="s">
        <v>111</v>
      </c>
      <c r="C106" t="s">
        <v>182</v>
      </c>
      <c r="D106">
        <v>0</v>
      </c>
      <c r="E106">
        <v>1</v>
      </c>
    </row>
    <row r="107" spans="1:5">
      <c r="A107" s="4">
        <v>44077</v>
      </c>
      <c r="B107" t="s">
        <v>112</v>
      </c>
      <c r="C107" t="s">
        <v>175</v>
      </c>
      <c r="D107">
        <v>1</v>
      </c>
      <c r="E107">
        <v>1</v>
      </c>
    </row>
    <row r="108" spans="1:5">
      <c r="A108" s="4">
        <v>44077</v>
      </c>
      <c r="B108" t="s">
        <v>112</v>
      </c>
      <c r="C108" t="s">
        <v>730</v>
      </c>
      <c r="D108">
        <v>1</v>
      </c>
      <c r="E108">
        <v>1</v>
      </c>
    </row>
    <row r="109" spans="1:5">
      <c r="A109" s="4">
        <v>44077</v>
      </c>
      <c r="B109" t="s">
        <v>112</v>
      </c>
      <c r="C109" t="s">
        <v>731</v>
      </c>
      <c r="D109">
        <v>1</v>
      </c>
      <c r="E109">
        <v>1</v>
      </c>
    </row>
    <row r="110" spans="1:5">
      <c r="A110" s="4">
        <v>44077</v>
      </c>
      <c r="B110" t="s">
        <v>112</v>
      </c>
      <c r="C110" t="s">
        <v>732</v>
      </c>
      <c r="D110">
        <v>1</v>
      </c>
      <c r="E110">
        <v>1</v>
      </c>
    </row>
    <row r="111" spans="1:5">
      <c r="A111" s="4">
        <v>44077</v>
      </c>
      <c r="B111" t="s">
        <v>112</v>
      </c>
      <c r="C111" t="s">
        <v>670</v>
      </c>
      <c r="D111">
        <v>1</v>
      </c>
      <c r="E111">
        <v>1</v>
      </c>
    </row>
    <row r="112" spans="1:5">
      <c r="A112" s="4">
        <v>44077</v>
      </c>
      <c r="B112" t="s">
        <v>112</v>
      </c>
      <c r="C112" t="s">
        <v>710</v>
      </c>
      <c r="D112">
        <v>1</v>
      </c>
      <c r="E112">
        <v>1</v>
      </c>
    </row>
    <row r="113" spans="1:5">
      <c r="A113" s="4">
        <v>44077</v>
      </c>
      <c r="B113" t="s">
        <v>112</v>
      </c>
      <c r="C113" t="s">
        <v>176</v>
      </c>
      <c r="D113">
        <v>1</v>
      </c>
      <c r="E113">
        <v>1</v>
      </c>
    </row>
    <row r="114" spans="1:5">
      <c r="A114" s="4">
        <v>44077</v>
      </c>
      <c r="B114" t="s">
        <v>112</v>
      </c>
      <c r="C114" t="s">
        <v>733</v>
      </c>
      <c r="D114">
        <v>1</v>
      </c>
      <c r="E114">
        <v>1</v>
      </c>
    </row>
    <row r="115" spans="1:5">
      <c r="A115" s="4">
        <v>44077</v>
      </c>
      <c r="B115" t="s">
        <v>112</v>
      </c>
      <c r="C115" t="s">
        <v>580</v>
      </c>
      <c r="D115">
        <v>1</v>
      </c>
      <c r="E115">
        <v>2</v>
      </c>
    </row>
    <row r="116" spans="1:5">
      <c r="A116" s="4">
        <v>44077</v>
      </c>
      <c r="B116" t="s">
        <v>112</v>
      </c>
      <c r="C116" t="s">
        <v>734</v>
      </c>
      <c r="D116">
        <v>1</v>
      </c>
      <c r="E116">
        <v>1</v>
      </c>
    </row>
    <row r="117" spans="1:5">
      <c r="A117" s="4">
        <v>44077</v>
      </c>
      <c r="B117" t="s">
        <v>112</v>
      </c>
      <c r="C117" t="s">
        <v>749</v>
      </c>
      <c r="D117">
        <v>1</v>
      </c>
      <c r="E117">
        <v>1</v>
      </c>
    </row>
    <row r="118" spans="1:5">
      <c r="A118" s="4">
        <v>44076</v>
      </c>
      <c r="B118" t="s">
        <v>113</v>
      </c>
      <c r="C118" t="s">
        <v>175</v>
      </c>
      <c r="D118">
        <v>1</v>
      </c>
      <c r="E118">
        <v>1</v>
      </c>
    </row>
    <row r="119" spans="1:5">
      <c r="A119" s="4">
        <v>44076</v>
      </c>
      <c r="B119" t="s">
        <v>113</v>
      </c>
      <c r="C119" t="s">
        <v>689</v>
      </c>
      <c r="D119">
        <v>1</v>
      </c>
      <c r="E119">
        <v>1</v>
      </c>
    </row>
    <row r="120" spans="1:5">
      <c r="A120" s="4">
        <v>44076</v>
      </c>
      <c r="B120" t="s">
        <v>113</v>
      </c>
      <c r="C120" t="s">
        <v>688</v>
      </c>
      <c r="D120">
        <v>1</v>
      </c>
      <c r="E120">
        <v>1</v>
      </c>
    </row>
    <row r="121" spans="1:5">
      <c r="A121" s="4">
        <v>44076</v>
      </c>
      <c r="B121" t="s">
        <v>113</v>
      </c>
      <c r="C121" t="s">
        <v>711</v>
      </c>
      <c r="D121">
        <v>1</v>
      </c>
      <c r="E121">
        <v>1</v>
      </c>
    </row>
    <row r="122" spans="1:5">
      <c r="A122" s="4">
        <v>44076</v>
      </c>
      <c r="B122" t="s">
        <v>113</v>
      </c>
      <c r="C122" t="s">
        <v>712</v>
      </c>
      <c r="D122">
        <v>1</v>
      </c>
      <c r="E122">
        <v>1</v>
      </c>
    </row>
    <row r="123" spans="1:5">
      <c r="A123" s="4">
        <v>44076</v>
      </c>
      <c r="B123" t="s">
        <v>113</v>
      </c>
      <c r="C123" t="s">
        <v>713</v>
      </c>
      <c r="D123">
        <v>1</v>
      </c>
      <c r="E123">
        <v>1</v>
      </c>
    </row>
    <row r="124" spans="1:5">
      <c r="A124" s="4">
        <v>44076</v>
      </c>
      <c r="B124" t="s">
        <v>113</v>
      </c>
      <c r="C124" t="s">
        <v>714</v>
      </c>
      <c r="D124">
        <v>1</v>
      </c>
      <c r="E124">
        <v>2</v>
      </c>
    </row>
    <row r="125" spans="1:5">
      <c r="A125" s="4">
        <v>44076</v>
      </c>
      <c r="B125" t="s">
        <v>113</v>
      </c>
      <c r="C125" t="s">
        <v>176</v>
      </c>
      <c r="D125">
        <v>1</v>
      </c>
      <c r="E125">
        <v>1</v>
      </c>
    </row>
    <row r="126" spans="1:5">
      <c r="A126" s="4">
        <v>44076</v>
      </c>
      <c r="B126" t="s">
        <v>113</v>
      </c>
      <c r="C126" t="s">
        <v>715</v>
      </c>
      <c r="D126">
        <v>1</v>
      </c>
      <c r="E126">
        <v>2</v>
      </c>
    </row>
    <row r="127" spans="1:5">
      <c r="A127" s="4">
        <v>44076</v>
      </c>
      <c r="B127" t="s">
        <v>113</v>
      </c>
      <c r="C127" t="s">
        <v>669</v>
      </c>
      <c r="D127">
        <v>1</v>
      </c>
      <c r="E127">
        <v>1</v>
      </c>
    </row>
    <row r="128" spans="1:5">
      <c r="A128" s="4">
        <v>44076</v>
      </c>
      <c r="B128" t="s">
        <v>113</v>
      </c>
      <c r="C128" t="s">
        <v>181</v>
      </c>
      <c r="D128">
        <v>1</v>
      </c>
      <c r="E128">
        <v>1</v>
      </c>
    </row>
    <row r="129" spans="1:5">
      <c r="A129" s="4">
        <v>44075</v>
      </c>
      <c r="B129" t="s">
        <v>114</v>
      </c>
      <c r="C129" t="s">
        <v>175</v>
      </c>
      <c r="D129">
        <v>1</v>
      </c>
      <c r="E129">
        <v>1</v>
      </c>
    </row>
    <row r="130" spans="1:5">
      <c r="A130" s="4">
        <v>44075</v>
      </c>
      <c r="B130" t="s">
        <v>114</v>
      </c>
      <c r="C130" t="s">
        <v>667</v>
      </c>
      <c r="D130">
        <v>1</v>
      </c>
      <c r="E130">
        <v>1</v>
      </c>
    </row>
    <row r="131" spans="1:5">
      <c r="A131" s="4">
        <v>44075</v>
      </c>
      <c r="B131" t="s">
        <v>114</v>
      </c>
      <c r="C131" t="s">
        <v>668</v>
      </c>
      <c r="D131">
        <v>1</v>
      </c>
      <c r="E131">
        <v>1</v>
      </c>
    </row>
    <row r="132" spans="1:5">
      <c r="A132" s="4">
        <v>44075</v>
      </c>
      <c r="B132" t="s">
        <v>114</v>
      </c>
      <c r="C132" t="s">
        <v>671</v>
      </c>
      <c r="D132">
        <v>1</v>
      </c>
      <c r="E132">
        <v>1</v>
      </c>
    </row>
    <row r="133" spans="1:5">
      <c r="A133" s="4">
        <v>44075</v>
      </c>
      <c r="B133" t="s">
        <v>114</v>
      </c>
      <c r="C133" t="s">
        <v>691</v>
      </c>
      <c r="D133">
        <v>1</v>
      </c>
      <c r="E133">
        <v>1</v>
      </c>
    </row>
    <row r="134" spans="1:5">
      <c r="A134" s="4">
        <v>44075</v>
      </c>
      <c r="B134" t="s">
        <v>114</v>
      </c>
      <c r="C134" t="s">
        <v>692</v>
      </c>
      <c r="D134">
        <v>1</v>
      </c>
      <c r="E134">
        <v>1</v>
      </c>
    </row>
    <row r="135" spans="1:5">
      <c r="A135" s="4">
        <v>44075</v>
      </c>
      <c r="B135" t="s">
        <v>114</v>
      </c>
      <c r="C135" t="s">
        <v>693</v>
      </c>
      <c r="D135">
        <v>1</v>
      </c>
      <c r="E135">
        <v>1</v>
      </c>
    </row>
    <row r="136" spans="1:5">
      <c r="A136" s="4">
        <v>44075</v>
      </c>
      <c r="B136" t="s">
        <v>114</v>
      </c>
      <c r="C136" t="s">
        <v>578</v>
      </c>
      <c r="D136">
        <v>1</v>
      </c>
      <c r="E136">
        <v>2</v>
      </c>
    </row>
    <row r="137" spans="1:5">
      <c r="A137" s="4">
        <v>44075</v>
      </c>
      <c r="B137" t="s">
        <v>114</v>
      </c>
      <c r="C137" t="s">
        <v>176</v>
      </c>
      <c r="D137">
        <v>1</v>
      </c>
      <c r="E137">
        <v>1</v>
      </c>
    </row>
    <row r="138" spans="1:5">
      <c r="A138" s="4">
        <v>44075</v>
      </c>
      <c r="B138" t="s">
        <v>114</v>
      </c>
      <c r="C138" t="s">
        <v>448</v>
      </c>
      <c r="D138">
        <v>1</v>
      </c>
      <c r="E138">
        <v>1</v>
      </c>
    </row>
    <row r="139" spans="1:5">
      <c r="A139" s="4">
        <v>44074</v>
      </c>
      <c r="B139" t="s">
        <v>108</v>
      </c>
      <c r="C139" t="s">
        <v>175</v>
      </c>
      <c r="D139">
        <v>1</v>
      </c>
      <c r="E139">
        <v>1</v>
      </c>
    </row>
    <row r="140" spans="1:5">
      <c r="A140" s="4">
        <v>44074</v>
      </c>
      <c r="B140" t="s">
        <v>108</v>
      </c>
      <c r="C140" t="s">
        <v>672</v>
      </c>
      <c r="D140">
        <v>1</v>
      </c>
      <c r="E140">
        <v>1</v>
      </c>
    </row>
    <row r="141" spans="1:5">
      <c r="A141" s="4">
        <v>44074</v>
      </c>
      <c r="B141" t="s">
        <v>108</v>
      </c>
      <c r="C141" t="s">
        <v>636</v>
      </c>
      <c r="D141">
        <v>1</v>
      </c>
      <c r="E141">
        <v>1</v>
      </c>
    </row>
    <row r="142" spans="1:5">
      <c r="A142" s="4">
        <v>44074</v>
      </c>
      <c r="B142" t="s">
        <v>108</v>
      </c>
      <c r="C142" t="s">
        <v>640</v>
      </c>
      <c r="D142">
        <v>1</v>
      </c>
      <c r="E142">
        <v>1</v>
      </c>
    </row>
    <row r="143" spans="1:5">
      <c r="A143" s="4">
        <v>44074</v>
      </c>
      <c r="B143" t="s">
        <v>108</v>
      </c>
      <c r="C143" t="s">
        <v>176</v>
      </c>
      <c r="D143">
        <v>1</v>
      </c>
      <c r="E143">
        <v>1</v>
      </c>
    </row>
    <row r="144" spans="1:5">
      <c r="A144" s="4">
        <v>44074</v>
      </c>
      <c r="B144" t="s">
        <v>108</v>
      </c>
      <c r="C144" t="s">
        <v>637</v>
      </c>
      <c r="D144">
        <v>1</v>
      </c>
      <c r="E144">
        <v>1</v>
      </c>
    </row>
    <row r="145" spans="1:5">
      <c r="A145" s="4">
        <v>44074</v>
      </c>
      <c r="B145" t="s">
        <v>108</v>
      </c>
      <c r="C145" t="s">
        <v>673</v>
      </c>
      <c r="D145">
        <v>1</v>
      </c>
      <c r="E145">
        <v>1</v>
      </c>
    </row>
    <row r="146" spans="1:5">
      <c r="A146" s="4">
        <v>44074</v>
      </c>
      <c r="B146" t="s">
        <v>108</v>
      </c>
      <c r="C146" t="s">
        <v>639</v>
      </c>
      <c r="D146">
        <v>1</v>
      </c>
      <c r="E146">
        <v>1</v>
      </c>
    </row>
    <row r="147" spans="1:5">
      <c r="A147" s="4">
        <v>44074</v>
      </c>
      <c r="B147" t="s">
        <v>108</v>
      </c>
      <c r="C147" t="s">
        <v>674</v>
      </c>
      <c r="D147">
        <v>1</v>
      </c>
      <c r="E147">
        <v>1</v>
      </c>
    </row>
    <row r="148" spans="1:5">
      <c r="A148" s="4">
        <v>44074</v>
      </c>
      <c r="B148" t="s">
        <v>108</v>
      </c>
      <c r="C148" t="s">
        <v>675</v>
      </c>
      <c r="D148">
        <v>1</v>
      </c>
      <c r="E148">
        <v>1</v>
      </c>
    </row>
    <row r="149" spans="1:5">
      <c r="A149" s="4">
        <v>44074</v>
      </c>
      <c r="B149" t="s">
        <v>108</v>
      </c>
      <c r="C149" t="s">
        <v>177</v>
      </c>
      <c r="D149">
        <v>1</v>
      </c>
      <c r="E149">
        <v>1</v>
      </c>
    </row>
    <row r="150" spans="1:5">
      <c r="A150" s="4">
        <v>44074</v>
      </c>
      <c r="B150" t="s">
        <v>108</v>
      </c>
      <c r="C150" t="s">
        <v>492</v>
      </c>
      <c r="D150">
        <v>1</v>
      </c>
      <c r="E150">
        <v>1</v>
      </c>
    </row>
    <row r="151" spans="1:5">
      <c r="A151" s="4">
        <v>44074</v>
      </c>
      <c r="B151" t="s">
        <v>108</v>
      </c>
      <c r="C151" t="s">
        <v>676</v>
      </c>
      <c r="D151">
        <v>1</v>
      </c>
      <c r="E151">
        <v>1</v>
      </c>
    </row>
    <row r="152" spans="1:5">
      <c r="A152" s="4">
        <v>44074</v>
      </c>
      <c r="B152" t="s">
        <v>108</v>
      </c>
      <c r="C152" t="s">
        <v>677</v>
      </c>
      <c r="D152">
        <v>1</v>
      </c>
      <c r="E152">
        <v>0</v>
      </c>
    </row>
    <row r="153" spans="1:5">
      <c r="A153" s="4">
        <v>44074</v>
      </c>
      <c r="B153" t="s">
        <v>108</v>
      </c>
      <c r="C153" t="s">
        <v>638</v>
      </c>
      <c r="D153">
        <v>1</v>
      </c>
      <c r="E153">
        <v>2</v>
      </c>
    </row>
    <row r="154" spans="1:5">
      <c r="A154" s="4">
        <v>44073</v>
      </c>
      <c r="B154" t="s">
        <v>109</v>
      </c>
      <c r="C154" t="s">
        <v>175</v>
      </c>
      <c r="D154">
        <v>1</v>
      </c>
      <c r="E154">
        <v>1</v>
      </c>
    </row>
    <row r="155" spans="1:5">
      <c r="A155" s="4">
        <v>44073</v>
      </c>
      <c r="B155" t="s">
        <v>109</v>
      </c>
      <c r="C155" t="s">
        <v>641</v>
      </c>
      <c r="D155">
        <v>1</v>
      </c>
      <c r="E155">
        <v>1</v>
      </c>
    </row>
    <row r="156" spans="1:5">
      <c r="A156" s="4">
        <v>44073</v>
      </c>
      <c r="B156" t="s">
        <v>109</v>
      </c>
      <c r="C156" t="s">
        <v>642</v>
      </c>
      <c r="D156">
        <v>1</v>
      </c>
      <c r="E156">
        <v>1</v>
      </c>
    </row>
    <row r="157" spans="1:5">
      <c r="A157" s="4">
        <v>44073</v>
      </c>
      <c r="B157" t="s">
        <v>109</v>
      </c>
      <c r="C157" t="s">
        <v>176</v>
      </c>
      <c r="D157">
        <v>1</v>
      </c>
      <c r="E157">
        <v>1</v>
      </c>
    </row>
    <row r="158" spans="1:5">
      <c r="A158" s="4">
        <v>44073</v>
      </c>
      <c r="B158" t="s">
        <v>109</v>
      </c>
      <c r="C158" t="s">
        <v>643</v>
      </c>
      <c r="D158">
        <v>1</v>
      </c>
      <c r="E158">
        <v>1</v>
      </c>
    </row>
    <row r="159" spans="1:5">
      <c r="A159" s="4">
        <v>44073</v>
      </c>
      <c r="B159" t="s">
        <v>109</v>
      </c>
      <c r="C159" t="s">
        <v>494</v>
      </c>
      <c r="D159">
        <v>1</v>
      </c>
      <c r="E159">
        <v>1</v>
      </c>
    </row>
    <row r="160" spans="1:5">
      <c r="A160" s="4">
        <v>44073</v>
      </c>
      <c r="B160" t="s">
        <v>109</v>
      </c>
      <c r="C160" t="s">
        <v>644</v>
      </c>
      <c r="D160">
        <v>1</v>
      </c>
      <c r="E160">
        <v>1</v>
      </c>
    </row>
    <row r="161" spans="1:5">
      <c r="A161" s="4">
        <v>44073</v>
      </c>
      <c r="B161" t="s">
        <v>109</v>
      </c>
      <c r="C161" t="s">
        <v>645</v>
      </c>
      <c r="D161">
        <v>1</v>
      </c>
      <c r="E161">
        <v>1</v>
      </c>
    </row>
    <row r="162" spans="1:5">
      <c r="A162" s="4">
        <v>44073</v>
      </c>
      <c r="B162" t="s">
        <v>109</v>
      </c>
      <c r="C162" t="s">
        <v>646</v>
      </c>
      <c r="D162">
        <v>1</v>
      </c>
      <c r="E162">
        <v>2</v>
      </c>
    </row>
    <row r="163" spans="1:5">
      <c r="A163" s="4">
        <v>44072</v>
      </c>
      <c r="B163" t="s">
        <v>110</v>
      </c>
      <c r="C163" t="s">
        <v>175</v>
      </c>
      <c r="D163">
        <v>1</v>
      </c>
      <c r="E163">
        <v>1</v>
      </c>
    </row>
    <row r="164" spans="1:5">
      <c r="A164" s="4">
        <v>44072</v>
      </c>
      <c r="B164" t="s">
        <v>110</v>
      </c>
      <c r="C164" t="s">
        <v>647</v>
      </c>
      <c r="D164">
        <v>1</v>
      </c>
      <c r="E164">
        <v>1</v>
      </c>
    </row>
    <row r="165" spans="1:5">
      <c r="A165" s="4">
        <v>44072</v>
      </c>
      <c r="B165" t="s">
        <v>110</v>
      </c>
      <c r="C165" t="s">
        <v>648</v>
      </c>
      <c r="D165">
        <v>1</v>
      </c>
      <c r="E165">
        <v>1</v>
      </c>
    </row>
    <row r="166" spans="1:5">
      <c r="A166" s="4">
        <v>44072</v>
      </c>
      <c r="B166" t="s">
        <v>110</v>
      </c>
      <c r="C166" t="s">
        <v>649</v>
      </c>
      <c r="D166">
        <v>1</v>
      </c>
      <c r="E166">
        <v>1</v>
      </c>
    </row>
    <row r="167" spans="1:5">
      <c r="A167" s="4">
        <v>44072</v>
      </c>
      <c r="B167" t="s">
        <v>110</v>
      </c>
      <c r="C167" t="s">
        <v>650</v>
      </c>
      <c r="D167">
        <v>1</v>
      </c>
      <c r="E167">
        <v>2</v>
      </c>
    </row>
    <row r="168" spans="1:5">
      <c r="A168" s="4">
        <v>44072</v>
      </c>
      <c r="B168" t="s">
        <v>110</v>
      </c>
      <c r="C168" t="s">
        <v>651</v>
      </c>
      <c r="D168">
        <v>1</v>
      </c>
      <c r="E168">
        <v>1</v>
      </c>
    </row>
    <row r="169" spans="1:5">
      <c r="A169" s="4">
        <v>44071</v>
      </c>
      <c r="B169" t="s">
        <v>111</v>
      </c>
      <c r="C169" t="s">
        <v>175</v>
      </c>
      <c r="D169">
        <v>1</v>
      </c>
      <c r="E169">
        <v>1</v>
      </c>
    </row>
    <row r="170" spans="1:5">
      <c r="A170" s="4">
        <v>44071</v>
      </c>
      <c r="B170" t="s">
        <v>111</v>
      </c>
      <c r="C170" t="s">
        <v>504</v>
      </c>
      <c r="D170">
        <v>1</v>
      </c>
      <c r="E170">
        <v>1</v>
      </c>
    </row>
    <row r="171" spans="1:5">
      <c r="A171" s="4">
        <v>44071</v>
      </c>
      <c r="B171" t="s">
        <v>111</v>
      </c>
      <c r="C171" t="s">
        <v>579</v>
      </c>
      <c r="D171">
        <v>1</v>
      </c>
      <c r="E171">
        <v>2</v>
      </c>
    </row>
    <row r="172" spans="1:5">
      <c r="A172" s="4">
        <v>44071</v>
      </c>
      <c r="B172" t="s">
        <v>111</v>
      </c>
      <c r="C172" t="s">
        <v>612</v>
      </c>
      <c r="D172">
        <v>1</v>
      </c>
      <c r="E172">
        <v>1</v>
      </c>
    </row>
    <row r="173" spans="1:5">
      <c r="A173" s="4">
        <v>44071</v>
      </c>
      <c r="B173" t="s">
        <v>111</v>
      </c>
      <c r="C173" t="s">
        <v>172</v>
      </c>
      <c r="D173">
        <v>1</v>
      </c>
      <c r="E173">
        <v>1</v>
      </c>
    </row>
    <row r="174" spans="1:5">
      <c r="A174" s="4">
        <v>44071</v>
      </c>
      <c r="B174" t="s">
        <v>111</v>
      </c>
      <c r="C174" t="s">
        <v>580</v>
      </c>
      <c r="D174">
        <v>1</v>
      </c>
      <c r="E174">
        <v>2</v>
      </c>
    </row>
    <row r="175" spans="1:5">
      <c r="A175" s="4">
        <v>44071</v>
      </c>
      <c r="B175" t="s">
        <v>111</v>
      </c>
      <c r="C175" t="s">
        <v>613</v>
      </c>
      <c r="D175">
        <v>1</v>
      </c>
      <c r="E175">
        <v>1</v>
      </c>
    </row>
    <row r="176" spans="1:5">
      <c r="A176" s="4">
        <v>44071</v>
      </c>
      <c r="B176" t="s">
        <v>111</v>
      </c>
      <c r="C176" t="s">
        <v>176</v>
      </c>
      <c r="D176">
        <v>1</v>
      </c>
      <c r="E176">
        <v>1</v>
      </c>
    </row>
    <row r="177" spans="1:5">
      <c r="A177" s="4">
        <v>44071</v>
      </c>
      <c r="B177" t="s">
        <v>111</v>
      </c>
      <c r="C177" t="s">
        <v>177</v>
      </c>
      <c r="D177">
        <v>1</v>
      </c>
      <c r="E177">
        <v>1</v>
      </c>
    </row>
    <row r="178" spans="1:5">
      <c r="A178" s="4">
        <v>44070</v>
      </c>
      <c r="B178" t="s">
        <v>112</v>
      </c>
      <c r="C178" t="s">
        <v>175</v>
      </c>
      <c r="D178">
        <v>1</v>
      </c>
      <c r="E178">
        <v>1</v>
      </c>
    </row>
    <row r="179" spans="1:5">
      <c r="A179" s="4">
        <v>44070</v>
      </c>
      <c r="B179" t="s">
        <v>112</v>
      </c>
      <c r="C179" t="s">
        <v>491</v>
      </c>
      <c r="D179">
        <v>1</v>
      </c>
      <c r="E179">
        <v>1</v>
      </c>
    </row>
    <row r="180" spans="1:5">
      <c r="A180" s="4">
        <v>44070</v>
      </c>
      <c r="B180" t="s">
        <v>112</v>
      </c>
      <c r="C180" t="s">
        <v>490</v>
      </c>
      <c r="D180">
        <v>1</v>
      </c>
      <c r="E180">
        <v>1</v>
      </c>
    </row>
    <row r="181" spans="1:5">
      <c r="A181" s="4">
        <v>44070</v>
      </c>
      <c r="B181" t="s">
        <v>112</v>
      </c>
      <c r="C181" t="s">
        <v>505</v>
      </c>
      <c r="D181">
        <v>1</v>
      </c>
      <c r="E181">
        <v>1</v>
      </c>
    </row>
    <row r="182" spans="1:5">
      <c r="A182" s="4">
        <v>44070</v>
      </c>
      <c r="B182" t="s">
        <v>112</v>
      </c>
      <c r="C182" t="s">
        <v>582</v>
      </c>
      <c r="D182">
        <v>1</v>
      </c>
      <c r="E182">
        <v>2</v>
      </c>
    </row>
    <row r="183" spans="1:5">
      <c r="A183" s="4">
        <v>44070</v>
      </c>
      <c r="B183" t="s">
        <v>112</v>
      </c>
      <c r="C183" t="s">
        <v>177</v>
      </c>
      <c r="D183">
        <v>1</v>
      </c>
      <c r="E183">
        <v>1</v>
      </c>
    </row>
    <row r="184" spans="1:5">
      <c r="A184" s="4">
        <v>44070</v>
      </c>
      <c r="B184" t="s">
        <v>112</v>
      </c>
      <c r="C184" t="s">
        <v>583</v>
      </c>
      <c r="D184">
        <v>1</v>
      </c>
      <c r="E184">
        <v>2</v>
      </c>
    </row>
    <row r="185" spans="1:5">
      <c r="A185" s="4">
        <v>44070</v>
      </c>
      <c r="B185" t="s">
        <v>112</v>
      </c>
      <c r="C185" t="s">
        <v>584</v>
      </c>
      <c r="D185">
        <v>1</v>
      </c>
      <c r="E185">
        <v>2</v>
      </c>
    </row>
    <row r="186" spans="1:5">
      <c r="A186" s="4">
        <v>44070</v>
      </c>
      <c r="B186" t="s">
        <v>112</v>
      </c>
      <c r="C186" t="s">
        <v>506</v>
      </c>
      <c r="D186">
        <v>1</v>
      </c>
      <c r="E186">
        <v>1</v>
      </c>
    </row>
    <row r="187" spans="1:5">
      <c r="A187" s="4">
        <v>44070</v>
      </c>
      <c r="B187" t="s">
        <v>112</v>
      </c>
      <c r="C187" t="s">
        <v>507</v>
      </c>
      <c r="D187">
        <v>1</v>
      </c>
      <c r="E187">
        <v>1</v>
      </c>
    </row>
    <row r="188" spans="1:5">
      <c r="A188" s="4">
        <v>44070</v>
      </c>
      <c r="B188" t="s">
        <v>112</v>
      </c>
      <c r="C188" t="s">
        <v>182</v>
      </c>
      <c r="D188">
        <v>1</v>
      </c>
      <c r="E188">
        <v>1</v>
      </c>
    </row>
    <row r="189" spans="1:5">
      <c r="A189" s="4">
        <v>44069</v>
      </c>
      <c r="B189" t="s">
        <v>113</v>
      </c>
      <c r="C189" t="s">
        <v>175</v>
      </c>
      <c r="D189">
        <v>1</v>
      </c>
      <c r="E189">
        <v>1</v>
      </c>
    </row>
    <row r="190" spans="1:5">
      <c r="A190" s="4">
        <v>44069</v>
      </c>
      <c r="B190" t="s">
        <v>113</v>
      </c>
      <c r="C190" t="s">
        <v>481</v>
      </c>
      <c r="D190">
        <v>1</v>
      </c>
      <c r="E190">
        <v>1</v>
      </c>
    </row>
    <row r="191" spans="1:5">
      <c r="A191" s="4">
        <v>44069</v>
      </c>
      <c r="B191" t="s">
        <v>113</v>
      </c>
      <c r="C191" t="s">
        <v>482</v>
      </c>
      <c r="D191">
        <v>1</v>
      </c>
      <c r="E191">
        <v>1</v>
      </c>
    </row>
    <row r="192" spans="1:5">
      <c r="A192" s="4">
        <v>44069</v>
      </c>
      <c r="B192" t="s">
        <v>113</v>
      </c>
      <c r="C192" t="s">
        <v>176</v>
      </c>
      <c r="D192">
        <v>1</v>
      </c>
      <c r="E192">
        <v>1</v>
      </c>
    </row>
    <row r="193" spans="1:5">
      <c r="A193" s="4">
        <v>44069</v>
      </c>
      <c r="B193" t="s">
        <v>113</v>
      </c>
      <c r="C193" t="s">
        <v>495</v>
      </c>
      <c r="D193">
        <v>1</v>
      </c>
      <c r="E193">
        <v>1</v>
      </c>
    </row>
    <row r="194" spans="1:5">
      <c r="A194" s="4">
        <v>44069</v>
      </c>
      <c r="B194" t="s">
        <v>113</v>
      </c>
      <c r="C194" t="s">
        <v>496</v>
      </c>
      <c r="D194">
        <v>1</v>
      </c>
      <c r="E194">
        <v>1</v>
      </c>
    </row>
    <row r="195" spans="1:5">
      <c r="A195" s="4">
        <v>44069</v>
      </c>
      <c r="B195" t="s">
        <v>113</v>
      </c>
      <c r="C195" t="s">
        <v>497</v>
      </c>
      <c r="D195">
        <v>1</v>
      </c>
      <c r="E195">
        <v>1</v>
      </c>
    </row>
    <row r="196" spans="1:5">
      <c r="A196" s="4">
        <v>44069</v>
      </c>
      <c r="B196" t="s">
        <v>113</v>
      </c>
      <c r="C196" t="s">
        <v>418</v>
      </c>
      <c r="D196">
        <v>1</v>
      </c>
      <c r="E196">
        <v>1</v>
      </c>
    </row>
    <row r="197" spans="1:5">
      <c r="A197" s="4">
        <v>44069</v>
      </c>
      <c r="B197" t="s">
        <v>113</v>
      </c>
      <c r="C197" t="s">
        <v>578</v>
      </c>
      <c r="D197">
        <v>1</v>
      </c>
      <c r="E197">
        <v>2</v>
      </c>
    </row>
    <row r="198" spans="1:5">
      <c r="A198" s="4">
        <v>44069</v>
      </c>
      <c r="B198" t="s">
        <v>113</v>
      </c>
      <c r="C198" t="s">
        <v>585</v>
      </c>
      <c r="D198">
        <v>1</v>
      </c>
      <c r="E198">
        <v>2</v>
      </c>
    </row>
    <row r="199" spans="1:5">
      <c r="A199" s="4">
        <v>44068</v>
      </c>
      <c r="B199" t="s">
        <v>114</v>
      </c>
      <c r="C199" t="s">
        <v>175</v>
      </c>
      <c r="D199">
        <v>1</v>
      </c>
      <c r="E199">
        <v>1</v>
      </c>
    </row>
    <row r="200" spans="1:5">
      <c r="A200" s="4">
        <v>44068</v>
      </c>
      <c r="B200" t="s">
        <v>114</v>
      </c>
      <c r="C200" t="s">
        <v>162</v>
      </c>
      <c r="D200">
        <v>1</v>
      </c>
      <c r="E200">
        <v>1</v>
      </c>
    </row>
    <row r="201" spans="1:5">
      <c r="A201" s="4">
        <v>44068</v>
      </c>
      <c r="B201" t="s">
        <v>114</v>
      </c>
      <c r="C201" t="s">
        <v>163</v>
      </c>
      <c r="D201">
        <v>1</v>
      </c>
      <c r="E201">
        <v>1</v>
      </c>
    </row>
    <row r="202" spans="1:5">
      <c r="A202" s="4">
        <v>44068</v>
      </c>
      <c r="B202" t="s">
        <v>114</v>
      </c>
      <c r="C202" t="s">
        <v>255</v>
      </c>
      <c r="D202">
        <v>1</v>
      </c>
      <c r="E202">
        <v>1</v>
      </c>
    </row>
    <row r="203" spans="1:5">
      <c r="A203" s="4">
        <v>44068</v>
      </c>
      <c r="B203" t="s">
        <v>114</v>
      </c>
      <c r="C203" t="s">
        <v>477</v>
      </c>
      <c r="D203">
        <v>1</v>
      </c>
      <c r="E203">
        <v>1</v>
      </c>
    </row>
    <row r="204" spans="1:5">
      <c r="A204" s="4">
        <v>44068</v>
      </c>
      <c r="B204" t="s">
        <v>114</v>
      </c>
      <c r="C204" t="s">
        <v>478</v>
      </c>
      <c r="D204">
        <v>1</v>
      </c>
      <c r="E204">
        <v>1</v>
      </c>
    </row>
    <row r="205" spans="1:5">
      <c r="A205" s="4">
        <v>44068</v>
      </c>
      <c r="B205" t="s">
        <v>114</v>
      </c>
      <c r="C205" t="s">
        <v>468</v>
      </c>
      <c r="D205">
        <v>1</v>
      </c>
      <c r="E205">
        <v>1</v>
      </c>
    </row>
    <row r="206" spans="1:5">
      <c r="A206" s="4">
        <v>44068</v>
      </c>
      <c r="B206" t="s">
        <v>114</v>
      </c>
      <c r="C206" t="s">
        <v>257</v>
      </c>
      <c r="D206">
        <v>1</v>
      </c>
      <c r="E206">
        <v>1</v>
      </c>
    </row>
    <row r="207" spans="1:5">
      <c r="A207" s="4">
        <v>44068</v>
      </c>
      <c r="B207" t="s">
        <v>114</v>
      </c>
      <c r="C207" t="s">
        <v>578</v>
      </c>
      <c r="D207">
        <v>1</v>
      </c>
      <c r="E207">
        <v>2</v>
      </c>
    </row>
    <row r="208" spans="1:5">
      <c r="A208" s="4">
        <v>44068</v>
      </c>
      <c r="B208" t="s">
        <v>114</v>
      </c>
      <c r="C208" t="s">
        <v>177</v>
      </c>
      <c r="D208">
        <v>1</v>
      </c>
      <c r="E208">
        <v>1</v>
      </c>
    </row>
    <row r="209" spans="1:5">
      <c r="A209" s="4">
        <v>44068</v>
      </c>
      <c r="B209" t="s">
        <v>114</v>
      </c>
      <c r="C209" t="s">
        <v>586</v>
      </c>
      <c r="D209">
        <v>1</v>
      </c>
      <c r="E209">
        <v>2</v>
      </c>
    </row>
    <row r="210" spans="1:5">
      <c r="A210" s="4">
        <v>44068</v>
      </c>
      <c r="B210" t="s">
        <v>114</v>
      </c>
      <c r="C210" t="s">
        <v>587</v>
      </c>
      <c r="D210">
        <v>1</v>
      </c>
      <c r="E210">
        <v>2</v>
      </c>
    </row>
    <row r="211" spans="1:5">
      <c r="A211" s="4">
        <v>44068</v>
      </c>
      <c r="B211" t="s">
        <v>114</v>
      </c>
      <c r="C211" t="s">
        <v>479</v>
      </c>
      <c r="D211">
        <v>1</v>
      </c>
      <c r="E211">
        <v>1</v>
      </c>
    </row>
    <row r="212" spans="1:5">
      <c r="A212" s="4">
        <v>44068</v>
      </c>
      <c r="B212" t="s">
        <v>114</v>
      </c>
      <c r="C212" t="s">
        <v>182</v>
      </c>
      <c r="D212">
        <v>1</v>
      </c>
      <c r="E212">
        <v>1</v>
      </c>
    </row>
    <row r="213" spans="1:5">
      <c r="A213" s="4">
        <v>44068</v>
      </c>
      <c r="B213" t="s">
        <v>114</v>
      </c>
      <c r="C213" t="s">
        <v>181</v>
      </c>
      <c r="D213">
        <v>1</v>
      </c>
      <c r="E213">
        <v>1</v>
      </c>
    </row>
    <row r="214" spans="1:5">
      <c r="A214" s="4">
        <v>44068</v>
      </c>
      <c r="B214" t="s">
        <v>114</v>
      </c>
      <c r="C214" t="s">
        <v>179</v>
      </c>
      <c r="D214">
        <v>1</v>
      </c>
      <c r="E214">
        <v>1</v>
      </c>
    </row>
    <row r="215" spans="1:5">
      <c r="A215" s="4">
        <v>44067</v>
      </c>
      <c r="B215" t="s">
        <v>108</v>
      </c>
      <c r="C215" t="s">
        <v>383</v>
      </c>
      <c r="D215">
        <v>1</v>
      </c>
      <c r="E215">
        <v>1</v>
      </c>
    </row>
    <row r="216" spans="1:5">
      <c r="A216" s="4">
        <v>44067</v>
      </c>
      <c r="B216" t="s">
        <v>108</v>
      </c>
      <c r="C216" t="s">
        <v>175</v>
      </c>
      <c r="D216">
        <v>1</v>
      </c>
      <c r="E216">
        <v>1</v>
      </c>
    </row>
    <row r="217" spans="1:5">
      <c r="A217" s="4">
        <v>44067</v>
      </c>
      <c r="B217" t="s">
        <v>108</v>
      </c>
      <c r="C217" t="s">
        <v>176</v>
      </c>
      <c r="D217">
        <v>1</v>
      </c>
      <c r="E217">
        <v>1</v>
      </c>
    </row>
    <row r="218" spans="1:5">
      <c r="A218" s="4">
        <v>44067</v>
      </c>
      <c r="B218" t="s">
        <v>108</v>
      </c>
      <c r="C218" t="s">
        <v>384</v>
      </c>
      <c r="D218">
        <v>1</v>
      </c>
      <c r="E218">
        <v>1</v>
      </c>
    </row>
    <row r="219" spans="1:5">
      <c r="A219" s="4">
        <v>44067</v>
      </c>
      <c r="B219" t="s">
        <v>108</v>
      </c>
      <c r="C219" t="s">
        <v>239</v>
      </c>
      <c r="D219">
        <v>1</v>
      </c>
      <c r="E219">
        <v>1</v>
      </c>
    </row>
    <row r="220" spans="1:5">
      <c r="A220" s="4">
        <v>44067</v>
      </c>
      <c r="B220" t="s">
        <v>108</v>
      </c>
      <c r="C220" t="s">
        <v>189</v>
      </c>
      <c r="D220">
        <v>1</v>
      </c>
      <c r="E220">
        <v>1</v>
      </c>
    </row>
    <row r="221" spans="1:5">
      <c r="A221" s="4">
        <v>44067</v>
      </c>
      <c r="B221" t="s">
        <v>108</v>
      </c>
      <c r="C221" t="s">
        <v>385</v>
      </c>
      <c r="D221">
        <v>1</v>
      </c>
      <c r="E221">
        <v>1</v>
      </c>
    </row>
    <row r="222" spans="1:5">
      <c r="A222" s="4">
        <v>44067</v>
      </c>
      <c r="B222" t="s">
        <v>108</v>
      </c>
      <c r="C222" t="s">
        <v>386</v>
      </c>
      <c r="D222">
        <v>1</v>
      </c>
      <c r="E222">
        <v>1</v>
      </c>
    </row>
    <row r="223" spans="1:5">
      <c r="A223" s="4">
        <v>44067</v>
      </c>
      <c r="B223" t="s">
        <v>108</v>
      </c>
      <c r="C223" t="s">
        <v>387</v>
      </c>
      <c r="D223">
        <v>1</v>
      </c>
      <c r="E223">
        <v>1</v>
      </c>
    </row>
    <row r="224" spans="1:5">
      <c r="A224" s="4">
        <v>44067</v>
      </c>
      <c r="B224" t="s">
        <v>108</v>
      </c>
      <c r="C224" t="s">
        <v>588</v>
      </c>
      <c r="D224">
        <v>1</v>
      </c>
      <c r="E224">
        <v>2</v>
      </c>
    </row>
    <row r="225" spans="1:5">
      <c r="A225" s="4">
        <v>44067</v>
      </c>
      <c r="B225" t="s">
        <v>108</v>
      </c>
      <c r="C225" t="s">
        <v>272</v>
      </c>
      <c r="D225">
        <v>1</v>
      </c>
      <c r="E225">
        <v>1</v>
      </c>
    </row>
    <row r="226" spans="1:5">
      <c r="A226" s="4">
        <v>44067</v>
      </c>
      <c r="B226" t="s">
        <v>108</v>
      </c>
      <c r="C226" t="s">
        <v>388</v>
      </c>
      <c r="D226">
        <v>1</v>
      </c>
      <c r="E226">
        <v>1</v>
      </c>
    </row>
    <row r="227" spans="1:5">
      <c r="A227" s="4">
        <v>44067</v>
      </c>
      <c r="B227" t="s">
        <v>108</v>
      </c>
      <c r="C227" t="s">
        <v>256</v>
      </c>
      <c r="D227">
        <v>1</v>
      </c>
      <c r="E227">
        <v>1</v>
      </c>
    </row>
    <row r="228" spans="1:5">
      <c r="A228" s="4">
        <v>44067</v>
      </c>
      <c r="B228" t="s">
        <v>108</v>
      </c>
      <c r="C228" t="s">
        <v>181</v>
      </c>
      <c r="D228">
        <v>1</v>
      </c>
      <c r="E228">
        <v>1</v>
      </c>
    </row>
    <row r="229" spans="1:5">
      <c r="A229" s="4">
        <v>44067</v>
      </c>
      <c r="B229" t="s">
        <v>108</v>
      </c>
      <c r="C229" t="s">
        <v>179</v>
      </c>
      <c r="D229">
        <v>1</v>
      </c>
      <c r="E229">
        <v>1</v>
      </c>
    </row>
    <row r="230" spans="1:5">
      <c r="A230" s="4">
        <v>44067</v>
      </c>
      <c r="B230" t="s">
        <v>108</v>
      </c>
      <c r="C230" t="s">
        <v>182</v>
      </c>
      <c r="D230">
        <v>1</v>
      </c>
      <c r="E230">
        <v>1</v>
      </c>
    </row>
    <row r="231" spans="1:5">
      <c r="A231" s="4">
        <v>44067</v>
      </c>
      <c r="B231" t="s">
        <v>108</v>
      </c>
      <c r="C231" t="s">
        <v>177</v>
      </c>
      <c r="D231">
        <v>1</v>
      </c>
      <c r="E231">
        <v>1</v>
      </c>
    </row>
    <row r="232" spans="1:5">
      <c r="A232" s="4">
        <v>44066</v>
      </c>
      <c r="B232" t="s">
        <v>109</v>
      </c>
      <c r="C232" t="s">
        <v>175</v>
      </c>
      <c r="D232">
        <v>1</v>
      </c>
      <c r="E232">
        <v>1</v>
      </c>
    </row>
    <row r="233" spans="1:5">
      <c r="A233" s="4">
        <v>44066</v>
      </c>
      <c r="B233" t="s">
        <v>109</v>
      </c>
      <c r="C233" t="s">
        <v>589</v>
      </c>
      <c r="D233">
        <v>1</v>
      </c>
      <c r="E233">
        <v>2</v>
      </c>
    </row>
    <row r="234" spans="1:5">
      <c r="A234" s="4">
        <v>44066</v>
      </c>
      <c r="B234" t="s">
        <v>109</v>
      </c>
      <c r="C234" t="s">
        <v>273</v>
      </c>
      <c r="D234">
        <v>1</v>
      </c>
      <c r="E234">
        <v>1</v>
      </c>
    </row>
    <row r="235" spans="1:5">
      <c r="A235" s="4">
        <v>44066</v>
      </c>
      <c r="B235" t="s">
        <v>109</v>
      </c>
      <c r="C235" t="s">
        <v>274</v>
      </c>
      <c r="D235">
        <v>1</v>
      </c>
      <c r="E235">
        <v>1</v>
      </c>
    </row>
    <row r="236" spans="1:5">
      <c r="A236" s="4">
        <v>44066</v>
      </c>
      <c r="B236" t="s">
        <v>109</v>
      </c>
      <c r="C236" t="s">
        <v>275</v>
      </c>
      <c r="D236">
        <v>1</v>
      </c>
      <c r="E236">
        <v>1</v>
      </c>
    </row>
    <row r="237" spans="1:5">
      <c r="A237" s="4">
        <v>44066</v>
      </c>
      <c r="B237" t="s">
        <v>109</v>
      </c>
      <c r="C237" t="s">
        <v>176</v>
      </c>
      <c r="D237">
        <v>1</v>
      </c>
      <c r="E237">
        <v>1</v>
      </c>
    </row>
    <row r="238" spans="1:5">
      <c r="A238" s="4">
        <v>44066</v>
      </c>
      <c r="B238" t="s">
        <v>109</v>
      </c>
      <c r="C238" t="s">
        <v>276</v>
      </c>
      <c r="D238">
        <v>1</v>
      </c>
      <c r="E238">
        <v>1</v>
      </c>
    </row>
    <row r="239" spans="1:5">
      <c r="A239" s="4">
        <v>44066</v>
      </c>
      <c r="B239" t="s">
        <v>109</v>
      </c>
      <c r="C239" t="s">
        <v>277</v>
      </c>
      <c r="D239">
        <v>1</v>
      </c>
      <c r="E239">
        <v>1</v>
      </c>
    </row>
    <row r="240" spans="1:5">
      <c r="A240" s="4">
        <v>44066</v>
      </c>
      <c r="B240" t="s">
        <v>109</v>
      </c>
      <c r="C240" t="s">
        <v>177</v>
      </c>
      <c r="D240">
        <v>1</v>
      </c>
      <c r="E240">
        <v>1</v>
      </c>
    </row>
    <row r="241" spans="1:5">
      <c r="A241" s="4">
        <v>44066</v>
      </c>
      <c r="B241" t="s">
        <v>109</v>
      </c>
      <c r="C241" t="s">
        <v>590</v>
      </c>
      <c r="D241">
        <v>1</v>
      </c>
      <c r="E241">
        <v>2</v>
      </c>
    </row>
    <row r="242" spans="1:5">
      <c r="A242" s="4">
        <v>44065</v>
      </c>
      <c r="B242" t="s">
        <v>110</v>
      </c>
      <c r="C242" t="s">
        <v>175</v>
      </c>
      <c r="D242">
        <v>1</v>
      </c>
      <c r="E242">
        <v>1</v>
      </c>
    </row>
    <row r="243" spans="1:5">
      <c r="A243" s="4">
        <v>44065</v>
      </c>
      <c r="B243" t="s">
        <v>110</v>
      </c>
      <c r="C243" t="s">
        <v>176</v>
      </c>
      <c r="D243">
        <v>1</v>
      </c>
      <c r="E243">
        <v>1</v>
      </c>
    </row>
    <row r="244" spans="1:5">
      <c r="A244" s="4">
        <v>44065</v>
      </c>
      <c r="B244" t="s">
        <v>110</v>
      </c>
      <c r="C244" t="s">
        <v>174</v>
      </c>
      <c r="D244">
        <v>1</v>
      </c>
      <c r="E244">
        <v>1</v>
      </c>
    </row>
    <row r="245" spans="1:5">
      <c r="A245" s="4">
        <v>44065</v>
      </c>
      <c r="B245" t="s">
        <v>110</v>
      </c>
      <c r="C245" t="s">
        <v>258</v>
      </c>
      <c r="D245">
        <v>1</v>
      </c>
      <c r="E245">
        <v>1</v>
      </c>
    </row>
    <row r="246" spans="1:5">
      <c r="A246" s="4">
        <v>44065</v>
      </c>
      <c r="B246" t="s">
        <v>110</v>
      </c>
      <c r="C246" t="s">
        <v>259</v>
      </c>
      <c r="D246">
        <v>1</v>
      </c>
      <c r="E246">
        <v>1</v>
      </c>
    </row>
    <row r="247" spans="1:5">
      <c r="A247" s="4">
        <v>44065</v>
      </c>
      <c r="B247" t="s">
        <v>110</v>
      </c>
      <c r="C247" t="s">
        <v>591</v>
      </c>
      <c r="D247">
        <v>1</v>
      </c>
      <c r="E247">
        <v>0</v>
      </c>
    </row>
    <row r="248" spans="1:5">
      <c r="A248" s="4">
        <v>44065</v>
      </c>
      <c r="B248" t="s">
        <v>110</v>
      </c>
      <c r="C248" t="s">
        <v>592</v>
      </c>
      <c r="D248">
        <v>1</v>
      </c>
      <c r="E248">
        <v>0</v>
      </c>
    </row>
    <row r="249" spans="1:5">
      <c r="A249" s="4">
        <v>44065</v>
      </c>
      <c r="B249" t="s">
        <v>110</v>
      </c>
      <c r="C249" t="s">
        <v>260</v>
      </c>
      <c r="D249">
        <v>1</v>
      </c>
      <c r="E249">
        <v>1</v>
      </c>
    </row>
    <row r="250" spans="1:5">
      <c r="A250" s="4">
        <v>44065</v>
      </c>
      <c r="B250" t="s">
        <v>110</v>
      </c>
      <c r="C250" t="s">
        <v>177</v>
      </c>
      <c r="D250">
        <v>1</v>
      </c>
      <c r="E250">
        <v>1</v>
      </c>
    </row>
    <row r="251" spans="1:5">
      <c r="A251" s="4">
        <v>44065</v>
      </c>
      <c r="B251" t="s">
        <v>110</v>
      </c>
      <c r="C251" t="s">
        <v>261</v>
      </c>
      <c r="D251">
        <v>1</v>
      </c>
      <c r="E251">
        <v>1</v>
      </c>
    </row>
    <row r="252" spans="1:5">
      <c r="A252" s="4">
        <v>44065</v>
      </c>
      <c r="B252" t="s">
        <v>110</v>
      </c>
      <c r="C252" t="s">
        <v>262</v>
      </c>
      <c r="D252">
        <v>1</v>
      </c>
      <c r="E252">
        <v>1</v>
      </c>
    </row>
    <row r="253" spans="1:5">
      <c r="A253" s="4">
        <v>44065</v>
      </c>
      <c r="B253" t="s">
        <v>110</v>
      </c>
      <c r="C253" t="s">
        <v>192</v>
      </c>
      <c r="D253">
        <v>1</v>
      </c>
      <c r="E253">
        <v>1</v>
      </c>
    </row>
    <row r="254" spans="1:5">
      <c r="A254" s="4">
        <v>44065</v>
      </c>
      <c r="B254" t="s">
        <v>110</v>
      </c>
      <c r="C254" t="s">
        <v>263</v>
      </c>
      <c r="D254">
        <v>1</v>
      </c>
      <c r="E254">
        <v>1</v>
      </c>
    </row>
    <row r="255" spans="1:5">
      <c r="A255" s="4">
        <v>44065</v>
      </c>
      <c r="B255" t="s">
        <v>110</v>
      </c>
      <c r="C255" t="s">
        <v>593</v>
      </c>
      <c r="D255">
        <v>1</v>
      </c>
      <c r="E255">
        <v>2</v>
      </c>
    </row>
    <row r="256" spans="1:5">
      <c r="A256" s="4">
        <v>44065</v>
      </c>
      <c r="B256" t="s">
        <v>110</v>
      </c>
      <c r="C256" t="s">
        <v>264</v>
      </c>
      <c r="D256">
        <v>1</v>
      </c>
      <c r="E256">
        <v>1</v>
      </c>
    </row>
    <row r="257" spans="1:5">
      <c r="A257" s="4">
        <v>44065</v>
      </c>
      <c r="B257" t="s">
        <v>110</v>
      </c>
      <c r="C257" t="s">
        <v>181</v>
      </c>
      <c r="D257">
        <v>1</v>
      </c>
      <c r="E257">
        <v>1</v>
      </c>
    </row>
    <row r="258" spans="1:5">
      <c r="A258" s="4">
        <v>44064</v>
      </c>
      <c r="B258" t="s">
        <v>111</v>
      </c>
      <c r="C258" t="s">
        <v>175</v>
      </c>
      <c r="D258">
        <v>1</v>
      </c>
      <c r="E258">
        <v>1</v>
      </c>
    </row>
    <row r="259" spans="1:5">
      <c r="A259" s="4">
        <v>44064</v>
      </c>
      <c r="B259" t="s">
        <v>111</v>
      </c>
      <c r="C259" t="s">
        <v>183</v>
      </c>
      <c r="D259">
        <v>1</v>
      </c>
      <c r="E259">
        <v>1</v>
      </c>
    </row>
    <row r="260" spans="1:5">
      <c r="A260" s="4">
        <v>44064</v>
      </c>
      <c r="B260" t="s">
        <v>111</v>
      </c>
      <c r="C260" t="s">
        <v>184</v>
      </c>
      <c r="D260">
        <v>1</v>
      </c>
      <c r="E260">
        <v>1</v>
      </c>
    </row>
    <row r="261" spans="1:5">
      <c r="A261" s="4">
        <v>44064</v>
      </c>
      <c r="B261" t="s">
        <v>111</v>
      </c>
      <c r="C261" t="s">
        <v>185</v>
      </c>
      <c r="D261">
        <v>1</v>
      </c>
      <c r="E261">
        <v>1</v>
      </c>
    </row>
    <row r="262" spans="1:5">
      <c r="A262" s="4">
        <v>44064</v>
      </c>
      <c r="B262" t="s">
        <v>111</v>
      </c>
      <c r="C262" t="s">
        <v>240</v>
      </c>
      <c r="D262">
        <v>1</v>
      </c>
      <c r="E262">
        <v>1</v>
      </c>
    </row>
    <row r="263" spans="1:5">
      <c r="A263" s="4">
        <v>44064</v>
      </c>
      <c r="B263" t="s">
        <v>111</v>
      </c>
      <c r="C263" t="s">
        <v>187</v>
      </c>
      <c r="D263">
        <v>1</v>
      </c>
      <c r="E263">
        <v>1</v>
      </c>
    </row>
    <row r="264" spans="1:5">
      <c r="A264" s="4">
        <v>44064</v>
      </c>
      <c r="B264" t="s">
        <v>111</v>
      </c>
      <c r="C264" t="s">
        <v>177</v>
      </c>
      <c r="D264">
        <v>1</v>
      </c>
      <c r="E264">
        <v>1</v>
      </c>
    </row>
    <row r="265" spans="1:5">
      <c r="A265" s="4">
        <v>44064</v>
      </c>
      <c r="B265" t="s">
        <v>111</v>
      </c>
      <c r="C265" t="s">
        <v>594</v>
      </c>
      <c r="D265">
        <v>1</v>
      </c>
      <c r="E265">
        <v>2</v>
      </c>
    </row>
    <row r="266" spans="1:5">
      <c r="A266" s="4">
        <v>44064</v>
      </c>
      <c r="B266" t="s">
        <v>111</v>
      </c>
      <c r="C266" t="s">
        <v>190</v>
      </c>
      <c r="D266">
        <v>1</v>
      </c>
      <c r="E266">
        <v>1</v>
      </c>
    </row>
    <row r="267" spans="1:5">
      <c r="A267" s="4">
        <v>44064</v>
      </c>
      <c r="B267" t="s">
        <v>111</v>
      </c>
      <c r="C267" t="s">
        <v>241</v>
      </c>
      <c r="D267">
        <v>1</v>
      </c>
      <c r="E267">
        <v>1</v>
      </c>
    </row>
    <row r="268" spans="1:5">
      <c r="A268" s="4">
        <v>44064</v>
      </c>
      <c r="B268" t="s">
        <v>111</v>
      </c>
      <c r="C268" t="s">
        <v>242</v>
      </c>
      <c r="D268">
        <v>1</v>
      </c>
      <c r="E268">
        <v>1</v>
      </c>
    </row>
    <row r="269" spans="1:5">
      <c r="A269" s="4">
        <v>44064</v>
      </c>
      <c r="B269" t="s">
        <v>111</v>
      </c>
      <c r="C269" t="s">
        <v>595</v>
      </c>
      <c r="D269">
        <v>1</v>
      </c>
      <c r="E269">
        <v>2</v>
      </c>
    </row>
    <row r="270" spans="1:5">
      <c r="A270" s="4">
        <v>44064</v>
      </c>
      <c r="B270" t="s">
        <v>111</v>
      </c>
      <c r="C270" t="s">
        <v>179</v>
      </c>
      <c r="D270">
        <v>1</v>
      </c>
      <c r="E270">
        <v>1</v>
      </c>
    </row>
    <row r="271" spans="1:5">
      <c r="A271" s="4">
        <v>44064</v>
      </c>
      <c r="B271" t="s">
        <v>111</v>
      </c>
      <c r="C271" t="s">
        <v>181</v>
      </c>
      <c r="D271">
        <v>1</v>
      </c>
      <c r="E271">
        <v>1</v>
      </c>
    </row>
    <row r="272" spans="1:5">
      <c r="A272" s="4">
        <v>44064</v>
      </c>
      <c r="B272" t="s">
        <v>111</v>
      </c>
      <c r="C272" t="s">
        <v>182</v>
      </c>
      <c r="D272">
        <v>1</v>
      </c>
      <c r="E272">
        <v>1</v>
      </c>
    </row>
    <row r="273" spans="1:5">
      <c r="A273" s="4">
        <v>44063</v>
      </c>
      <c r="B273" t="s">
        <v>112</v>
      </c>
      <c r="C273" t="s">
        <v>175</v>
      </c>
      <c r="D273">
        <v>1</v>
      </c>
      <c r="E273">
        <v>1</v>
      </c>
    </row>
    <row r="274" spans="1:5">
      <c r="A274" s="4">
        <v>44063</v>
      </c>
      <c r="B274" t="s">
        <v>112</v>
      </c>
      <c r="C274" t="s">
        <v>176</v>
      </c>
      <c r="D274">
        <v>1</v>
      </c>
      <c r="E274">
        <v>1</v>
      </c>
    </row>
    <row r="275" spans="1:5">
      <c r="A275" s="4">
        <v>44063</v>
      </c>
      <c r="B275" t="s">
        <v>112</v>
      </c>
      <c r="C275" t="s">
        <v>197</v>
      </c>
      <c r="D275">
        <v>1</v>
      </c>
      <c r="E275">
        <v>1</v>
      </c>
    </row>
    <row r="276" spans="1:5">
      <c r="A276" s="4">
        <v>44063</v>
      </c>
      <c r="B276" t="s">
        <v>112</v>
      </c>
      <c r="C276" t="s">
        <v>198</v>
      </c>
      <c r="D276">
        <v>1</v>
      </c>
      <c r="E276">
        <v>1</v>
      </c>
    </row>
    <row r="277" spans="1:5">
      <c r="A277" s="4">
        <v>44063</v>
      </c>
      <c r="B277" t="s">
        <v>112</v>
      </c>
      <c r="C277" t="s">
        <v>199</v>
      </c>
      <c r="D277">
        <v>1</v>
      </c>
      <c r="E277">
        <v>1</v>
      </c>
    </row>
    <row r="278" spans="1:5">
      <c r="A278" s="4">
        <v>44063</v>
      </c>
      <c r="B278" t="s">
        <v>112</v>
      </c>
      <c r="C278" t="s">
        <v>200</v>
      </c>
      <c r="D278">
        <v>1</v>
      </c>
      <c r="E278">
        <v>1</v>
      </c>
    </row>
    <row r="279" spans="1:5">
      <c r="A279" s="4">
        <v>44063</v>
      </c>
      <c r="B279" t="s">
        <v>112</v>
      </c>
      <c r="C279" t="s">
        <v>201</v>
      </c>
      <c r="D279">
        <v>1</v>
      </c>
      <c r="E279">
        <v>1</v>
      </c>
    </row>
    <row r="280" spans="1:5">
      <c r="A280" s="4">
        <v>44063</v>
      </c>
      <c r="B280" t="s">
        <v>112</v>
      </c>
      <c r="C280" t="s">
        <v>202</v>
      </c>
      <c r="D280">
        <v>1</v>
      </c>
      <c r="E280">
        <v>1</v>
      </c>
    </row>
    <row r="281" spans="1:5">
      <c r="A281" s="4">
        <v>44063</v>
      </c>
      <c r="B281" t="s">
        <v>112</v>
      </c>
      <c r="C281" t="s">
        <v>203</v>
      </c>
      <c r="D281">
        <v>1</v>
      </c>
      <c r="E281">
        <v>1</v>
      </c>
    </row>
    <row r="282" spans="1:5">
      <c r="A282" s="4">
        <v>44063</v>
      </c>
      <c r="B282" t="s">
        <v>112</v>
      </c>
      <c r="C282" t="s">
        <v>578</v>
      </c>
      <c r="D282">
        <v>1</v>
      </c>
      <c r="E282">
        <v>2</v>
      </c>
    </row>
    <row r="283" spans="1:5">
      <c r="A283" s="4">
        <v>44063</v>
      </c>
      <c r="B283" t="s">
        <v>112</v>
      </c>
      <c r="C283" t="s">
        <v>202</v>
      </c>
      <c r="D283">
        <v>1</v>
      </c>
      <c r="E283">
        <v>1</v>
      </c>
    </row>
    <row r="284" spans="1:5">
      <c r="A284" s="4">
        <v>44062</v>
      </c>
      <c r="B284" t="s">
        <v>113</v>
      </c>
      <c r="C284" t="s">
        <v>175</v>
      </c>
      <c r="D284">
        <v>1</v>
      </c>
      <c r="E284">
        <v>1</v>
      </c>
    </row>
    <row r="285" spans="1:5">
      <c r="A285" s="4">
        <v>44062</v>
      </c>
      <c r="B285" t="s">
        <v>113</v>
      </c>
      <c r="C285" t="s">
        <v>204</v>
      </c>
      <c r="D285">
        <v>1</v>
      </c>
      <c r="E285">
        <v>1</v>
      </c>
    </row>
    <row r="286" spans="1:5">
      <c r="A286" s="4">
        <v>44062</v>
      </c>
      <c r="B286" t="s">
        <v>113</v>
      </c>
      <c r="C286" t="s">
        <v>205</v>
      </c>
      <c r="D286">
        <v>1</v>
      </c>
      <c r="E286">
        <v>1</v>
      </c>
    </row>
    <row r="287" spans="1:5">
      <c r="A287" s="4">
        <v>44062</v>
      </c>
      <c r="B287" t="s">
        <v>113</v>
      </c>
      <c r="C287" t="s">
        <v>206</v>
      </c>
      <c r="D287">
        <v>1</v>
      </c>
      <c r="E287">
        <v>1</v>
      </c>
    </row>
    <row r="288" spans="1:5">
      <c r="A288" s="4">
        <v>44062</v>
      </c>
      <c r="B288" t="s">
        <v>113</v>
      </c>
      <c r="C288" t="s">
        <v>596</v>
      </c>
      <c r="D288">
        <v>1</v>
      </c>
      <c r="E288">
        <v>2</v>
      </c>
    </row>
    <row r="289" spans="1:5">
      <c r="A289" s="4">
        <v>44062</v>
      </c>
      <c r="B289" t="s">
        <v>113</v>
      </c>
      <c r="C289" t="s">
        <v>207</v>
      </c>
      <c r="D289">
        <v>1</v>
      </c>
      <c r="E289">
        <v>1</v>
      </c>
    </row>
    <row r="290" spans="1:5">
      <c r="A290" s="4">
        <v>44062</v>
      </c>
      <c r="B290" t="s">
        <v>113</v>
      </c>
      <c r="C290" t="s">
        <v>597</v>
      </c>
      <c r="D290">
        <v>1</v>
      </c>
      <c r="E290">
        <v>2</v>
      </c>
    </row>
    <row r="291" spans="1:5">
      <c r="A291" s="4">
        <v>44062</v>
      </c>
      <c r="B291" t="s">
        <v>113</v>
      </c>
      <c r="C291" t="s">
        <v>598</v>
      </c>
      <c r="D291">
        <v>1</v>
      </c>
      <c r="E291">
        <v>2</v>
      </c>
    </row>
    <row r="292" spans="1:5">
      <c r="A292" s="4">
        <v>44062</v>
      </c>
      <c r="B292" t="s">
        <v>113</v>
      </c>
      <c r="C292" t="s">
        <v>177</v>
      </c>
      <c r="D292">
        <v>1</v>
      </c>
      <c r="E292">
        <v>1</v>
      </c>
    </row>
    <row r="293" spans="1:5">
      <c r="A293" s="4">
        <v>44062</v>
      </c>
      <c r="B293" t="s">
        <v>113</v>
      </c>
      <c r="C293" t="s">
        <v>578</v>
      </c>
      <c r="D293">
        <v>1</v>
      </c>
      <c r="E293">
        <v>2</v>
      </c>
    </row>
    <row r="294" spans="1:5">
      <c r="A294" s="4">
        <v>44061</v>
      </c>
      <c r="B294" t="s">
        <v>114</v>
      </c>
      <c r="C294" t="s">
        <v>175</v>
      </c>
      <c r="D294">
        <v>1</v>
      </c>
      <c r="E294">
        <v>1</v>
      </c>
    </row>
    <row r="295" spans="1:5">
      <c r="A295" s="4">
        <v>44061</v>
      </c>
      <c r="B295" t="s">
        <v>114</v>
      </c>
      <c r="C295" t="s">
        <v>208</v>
      </c>
      <c r="D295">
        <v>1</v>
      </c>
      <c r="E295">
        <v>1</v>
      </c>
    </row>
    <row r="296" spans="1:5">
      <c r="A296" s="4">
        <v>44061</v>
      </c>
      <c r="B296" t="s">
        <v>114</v>
      </c>
      <c r="C296" t="s">
        <v>599</v>
      </c>
      <c r="D296">
        <v>1</v>
      </c>
      <c r="E296">
        <v>2</v>
      </c>
    </row>
    <row r="297" spans="1:5">
      <c r="A297" s="4">
        <v>44061</v>
      </c>
      <c r="B297" t="s">
        <v>114</v>
      </c>
      <c r="C297" t="s">
        <v>177</v>
      </c>
      <c r="D297">
        <v>1</v>
      </c>
      <c r="E297">
        <v>1</v>
      </c>
    </row>
    <row r="298" spans="1:5">
      <c r="A298" s="4">
        <v>44061</v>
      </c>
      <c r="B298" t="s">
        <v>114</v>
      </c>
      <c r="C298" t="s">
        <v>600</v>
      </c>
      <c r="D298">
        <v>1</v>
      </c>
      <c r="E298">
        <v>2</v>
      </c>
    </row>
    <row r="299" spans="1:5">
      <c r="A299" s="4">
        <v>44060</v>
      </c>
      <c r="B299" t="s">
        <v>108</v>
      </c>
      <c r="C299" t="s">
        <v>175</v>
      </c>
      <c r="D299">
        <v>1</v>
      </c>
      <c r="E299">
        <v>1</v>
      </c>
    </row>
    <row r="300" spans="1:5">
      <c r="A300" s="4">
        <v>44060</v>
      </c>
      <c r="B300" t="s">
        <v>108</v>
      </c>
      <c r="C300" t="s">
        <v>209</v>
      </c>
      <c r="D300">
        <v>1</v>
      </c>
      <c r="E300">
        <v>1</v>
      </c>
    </row>
    <row r="301" spans="1:5">
      <c r="A301" s="4">
        <v>44060</v>
      </c>
      <c r="B301" t="s">
        <v>108</v>
      </c>
      <c r="C301" t="s">
        <v>210</v>
      </c>
      <c r="D301">
        <v>1</v>
      </c>
      <c r="E301">
        <v>1</v>
      </c>
    </row>
    <row r="302" spans="1:5">
      <c r="A302" s="4">
        <v>44060</v>
      </c>
      <c r="B302" t="s">
        <v>108</v>
      </c>
      <c r="C302" t="s">
        <v>177</v>
      </c>
      <c r="D302">
        <v>1</v>
      </c>
      <c r="E302">
        <v>1</v>
      </c>
    </row>
    <row r="303" spans="1:5">
      <c r="A303" s="4">
        <v>44060</v>
      </c>
      <c r="B303" t="s">
        <v>108</v>
      </c>
      <c r="C303" t="s">
        <v>176</v>
      </c>
      <c r="D303">
        <v>1</v>
      </c>
      <c r="E303">
        <v>1</v>
      </c>
    </row>
    <row r="304" spans="1:5">
      <c r="A304" s="4">
        <v>44060</v>
      </c>
      <c r="B304" t="s">
        <v>108</v>
      </c>
      <c r="C304" t="s">
        <v>211</v>
      </c>
      <c r="D304">
        <v>1</v>
      </c>
      <c r="E304">
        <v>1</v>
      </c>
    </row>
    <row r="305" spans="1:5">
      <c r="A305" s="4">
        <v>44060</v>
      </c>
      <c r="B305" t="s">
        <v>108</v>
      </c>
      <c r="C305" t="s">
        <v>212</v>
      </c>
      <c r="D305">
        <v>1</v>
      </c>
      <c r="E305">
        <v>1</v>
      </c>
    </row>
    <row r="306" spans="1:5">
      <c r="A306" s="4">
        <v>44059</v>
      </c>
      <c r="B306" t="s">
        <v>109</v>
      </c>
      <c r="C306" t="s">
        <v>175</v>
      </c>
      <c r="D306">
        <v>1</v>
      </c>
      <c r="E306">
        <v>1</v>
      </c>
    </row>
    <row r="307" spans="1:5">
      <c r="A307" s="4">
        <v>44059</v>
      </c>
      <c r="B307" t="s">
        <v>109</v>
      </c>
      <c r="C307" t="s">
        <v>213</v>
      </c>
      <c r="D307">
        <v>1</v>
      </c>
      <c r="E307">
        <v>1</v>
      </c>
    </row>
    <row r="308" spans="1:5">
      <c r="A308" s="4">
        <v>44059</v>
      </c>
      <c r="B308" t="s">
        <v>109</v>
      </c>
      <c r="C308" t="s">
        <v>214</v>
      </c>
      <c r="D308">
        <v>1</v>
      </c>
      <c r="E308">
        <v>1</v>
      </c>
    </row>
    <row r="309" spans="1:5">
      <c r="A309" s="4">
        <v>44059</v>
      </c>
      <c r="B309" t="s">
        <v>109</v>
      </c>
      <c r="C309" t="s">
        <v>215</v>
      </c>
      <c r="D309">
        <v>1</v>
      </c>
      <c r="E309">
        <v>1</v>
      </c>
    </row>
    <row r="310" spans="1:5">
      <c r="A310" s="4">
        <v>44059</v>
      </c>
      <c r="B310" t="s">
        <v>109</v>
      </c>
      <c r="C310" t="s">
        <v>176</v>
      </c>
      <c r="D310">
        <v>1</v>
      </c>
      <c r="E310">
        <v>1</v>
      </c>
    </row>
    <row r="311" spans="1:5">
      <c r="A311" s="4">
        <v>44059</v>
      </c>
      <c r="B311" t="s">
        <v>109</v>
      </c>
      <c r="C311" t="s">
        <v>177</v>
      </c>
      <c r="D311">
        <v>1</v>
      </c>
      <c r="E311">
        <v>1</v>
      </c>
    </row>
    <row r="312" spans="1:5">
      <c r="A312" s="4">
        <v>44059</v>
      </c>
      <c r="B312" t="s">
        <v>109</v>
      </c>
      <c r="C312" t="s">
        <v>216</v>
      </c>
      <c r="D312">
        <v>1</v>
      </c>
      <c r="E312">
        <v>1</v>
      </c>
    </row>
    <row r="313" spans="1:5">
      <c r="A313" s="4">
        <v>44058</v>
      </c>
      <c r="B313" t="s">
        <v>110</v>
      </c>
      <c r="C313" t="s">
        <v>175</v>
      </c>
      <c r="D313">
        <v>1</v>
      </c>
      <c r="E313">
        <v>1</v>
      </c>
    </row>
    <row r="314" spans="1:5">
      <c r="A314" s="4">
        <v>44058</v>
      </c>
      <c r="B314" t="s">
        <v>110</v>
      </c>
      <c r="C314" t="s">
        <v>176</v>
      </c>
      <c r="D314">
        <v>1</v>
      </c>
      <c r="E314">
        <v>1</v>
      </c>
    </row>
    <row r="315" spans="1:5">
      <c r="A315" s="4">
        <v>44058</v>
      </c>
      <c r="B315" t="s">
        <v>110</v>
      </c>
      <c r="C315" t="s">
        <v>217</v>
      </c>
      <c r="D315">
        <v>1</v>
      </c>
      <c r="E315">
        <v>1</v>
      </c>
    </row>
    <row r="316" spans="1:5">
      <c r="A316" s="4">
        <v>44058</v>
      </c>
      <c r="B316" t="s">
        <v>110</v>
      </c>
      <c r="C316" t="s">
        <v>218</v>
      </c>
      <c r="D316">
        <v>1</v>
      </c>
      <c r="E316">
        <v>1</v>
      </c>
    </row>
    <row r="317" spans="1:5">
      <c r="A317" s="4">
        <v>44058</v>
      </c>
      <c r="B317" t="s">
        <v>110</v>
      </c>
      <c r="C317" t="s">
        <v>177</v>
      </c>
      <c r="D317">
        <v>1</v>
      </c>
      <c r="E317">
        <v>1</v>
      </c>
    </row>
    <row r="318" spans="1:5">
      <c r="A318" s="4">
        <v>44058</v>
      </c>
      <c r="B318" t="s">
        <v>110</v>
      </c>
      <c r="C318" t="s">
        <v>219</v>
      </c>
      <c r="D318">
        <v>1</v>
      </c>
      <c r="E318">
        <v>1</v>
      </c>
    </row>
    <row r="319" spans="1:5">
      <c r="A319" s="4">
        <v>44058</v>
      </c>
      <c r="B319" t="s">
        <v>110</v>
      </c>
      <c r="C319" t="s">
        <v>220</v>
      </c>
      <c r="D319">
        <v>1</v>
      </c>
      <c r="E319">
        <v>1</v>
      </c>
    </row>
    <row r="320" spans="1:5">
      <c r="A320" s="4">
        <v>44058</v>
      </c>
      <c r="B320" t="s">
        <v>110</v>
      </c>
      <c r="C320" t="s">
        <v>221</v>
      </c>
      <c r="D320">
        <v>1</v>
      </c>
      <c r="E320">
        <v>1</v>
      </c>
    </row>
    <row r="321" spans="1:5">
      <c r="A321" s="4">
        <v>44058</v>
      </c>
      <c r="B321" t="s">
        <v>110</v>
      </c>
      <c r="C321" t="s">
        <v>222</v>
      </c>
      <c r="D321">
        <v>1</v>
      </c>
      <c r="E321">
        <v>1</v>
      </c>
    </row>
    <row r="322" spans="1:5">
      <c r="A322" s="4">
        <v>44057</v>
      </c>
      <c r="B322" t="s">
        <v>111</v>
      </c>
      <c r="C322" t="s">
        <v>175</v>
      </c>
      <c r="D322">
        <v>1</v>
      </c>
      <c r="E322">
        <v>1</v>
      </c>
    </row>
    <row r="323" spans="1:5">
      <c r="A323" s="4">
        <v>44057</v>
      </c>
      <c r="B323" t="s">
        <v>111</v>
      </c>
      <c r="C323" t="s">
        <v>223</v>
      </c>
      <c r="D323">
        <v>1</v>
      </c>
      <c r="E323">
        <v>1</v>
      </c>
    </row>
    <row r="324" spans="1:5">
      <c r="A324" s="4">
        <v>44057</v>
      </c>
      <c r="B324" t="s">
        <v>111</v>
      </c>
      <c r="C324" t="s">
        <v>224</v>
      </c>
      <c r="D324">
        <v>1</v>
      </c>
      <c r="E324">
        <v>1</v>
      </c>
    </row>
    <row r="325" spans="1:5">
      <c r="A325" s="4">
        <v>44057</v>
      </c>
      <c r="B325" t="s">
        <v>111</v>
      </c>
      <c r="C325" t="s">
        <v>225</v>
      </c>
      <c r="D325">
        <v>1</v>
      </c>
      <c r="E325">
        <v>1</v>
      </c>
    </row>
    <row r="326" spans="1:5">
      <c r="A326" s="4">
        <v>44057</v>
      </c>
      <c r="B326" t="s">
        <v>111</v>
      </c>
      <c r="C326" t="s">
        <v>226</v>
      </c>
      <c r="D326">
        <v>1</v>
      </c>
      <c r="E326">
        <v>1</v>
      </c>
    </row>
    <row r="327" spans="1:5">
      <c r="A327" s="4">
        <v>44057</v>
      </c>
      <c r="B327" t="s">
        <v>111</v>
      </c>
      <c r="C327" t="s">
        <v>227</v>
      </c>
      <c r="D327">
        <v>1</v>
      </c>
      <c r="E327">
        <v>1</v>
      </c>
    </row>
    <row r="328" spans="1:5">
      <c r="A328" s="4">
        <v>44057</v>
      </c>
      <c r="B328" t="s">
        <v>111</v>
      </c>
      <c r="C328" t="s">
        <v>180</v>
      </c>
      <c r="D328">
        <v>1</v>
      </c>
      <c r="E328">
        <v>1</v>
      </c>
    </row>
    <row r="329" spans="1:5">
      <c r="A329" s="4">
        <v>44057</v>
      </c>
      <c r="B329" t="s">
        <v>111</v>
      </c>
      <c r="C329" t="s">
        <v>228</v>
      </c>
      <c r="D329">
        <v>1</v>
      </c>
      <c r="E329">
        <v>1</v>
      </c>
    </row>
    <row r="330" spans="1:5">
      <c r="A330" s="4">
        <v>44057</v>
      </c>
      <c r="B330" t="s">
        <v>111</v>
      </c>
      <c r="C330" t="s">
        <v>177</v>
      </c>
      <c r="D330">
        <v>1</v>
      </c>
      <c r="E330">
        <v>1</v>
      </c>
    </row>
    <row r="331" spans="1:5">
      <c r="A331" s="4">
        <v>44057</v>
      </c>
      <c r="B331" t="s">
        <v>111</v>
      </c>
      <c r="C331" t="s">
        <v>181</v>
      </c>
      <c r="D331">
        <v>1</v>
      </c>
      <c r="E331">
        <v>1</v>
      </c>
    </row>
    <row r="332" spans="1:5">
      <c r="A332" s="4">
        <v>44057</v>
      </c>
      <c r="B332" t="s">
        <v>111</v>
      </c>
      <c r="C332" t="s">
        <v>179</v>
      </c>
      <c r="D332">
        <v>1</v>
      </c>
      <c r="E332">
        <v>1</v>
      </c>
    </row>
    <row r="333" spans="1:5">
      <c r="A333" s="4">
        <v>44056</v>
      </c>
      <c r="B333" t="s">
        <v>112</v>
      </c>
      <c r="C333" t="s">
        <v>175</v>
      </c>
      <c r="D333">
        <v>1</v>
      </c>
      <c r="E333">
        <v>1</v>
      </c>
    </row>
    <row r="334" spans="1:5">
      <c r="A334" s="4">
        <v>44056</v>
      </c>
      <c r="B334" t="s">
        <v>112</v>
      </c>
      <c r="C334" t="s">
        <v>176</v>
      </c>
      <c r="D334">
        <v>1</v>
      </c>
      <c r="E334">
        <v>1</v>
      </c>
    </row>
    <row r="335" spans="1:5">
      <c r="A335" s="4">
        <v>44056</v>
      </c>
      <c r="B335" t="s">
        <v>112</v>
      </c>
      <c r="C335" t="s">
        <v>389</v>
      </c>
      <c r="D335">
        <v>1</v>
      </c>
      <c r="E335">
        <v>1</v>
      </c>
    </row>
    <row r="336" spans="1:5">
      <c r="A336" s="4">
        <v>44056</v>
      </c>
      <c r="B336" t="s">
        <v>112</v>
      </c>
      <c r="C336" t="s">
        <v>177</v>
      </c>
      <c r="D336">
        <v>1</v>
      </c>
      <c r="E336">
        <v>1</v>
      </c>
    </row>
    <row r="337" spans="1:5">
      <c r="A337" s="4">
        <v>44056</v>
      </c>
      <c r="B337" t="s">
        <v>112</v>
      </c>
      <c r="C337" t="s">
        <v>390</v>
      </c>
      <c r="D337">
        <v>1</v>
      </c>
      <c r="E337">
        <v>1</v>
      </c>
    </row>
    <row r="338" spans="1:5">
      <c r="A338" s="4">
        <v>44056</v>
      </c>
      <c r="B338" t="s">
        <v>112</v>
      </c>
      <c r="C338" t="s">
        <v>391</v>
      </c>
      <c r="D338">
        <v>1</v>
      </c>
      <c r="E338">
        <v>1</v>
      </c>
    </row>
    <row r="339" spans="1:5">
      <c r="A339" s="4">
        <v>44056</v>
      </c>
      <c r="B339" t="s">
        <v>112</v>
      </c>
      <c r="C339" t="s">
        <v>392</v>
      </c>
      <c r="D339">
        <v>1</v>
      </c>
      <c r="E339">
        <v>1</v>
      </c>
    </row>
    <row r="340" spans="1:5">
      <c r="A340" s="4">
        <v>44056</v>
      </c>
      <c r="B340" t="s">
        <v>112</v>
      </c>
      <c r="C340" t="s">
        <v>393</v>
      </c>
      <c r="D340">
        <v>1</v>
      </c>
      <c r="E340">
        <v>1</v>
      </c>
    </row>
    <row r="341" spans="1:5">
      <c r="A341" s="4">
        <v>44056</v>
      </c>
      <c r="B341" t="s">
        <v>112</v>
      </c>
      <c r="C341" t="s">
        <v>394</v>
      </c>
      <c r="D341">
        <v>1</v>
      </c>
      <c r="E341">
        <v>1</v>
      </c>
    </row>
    <row r="342" spans="1:5">
      <c r="A342" s="4">
        <v>44056</v>
      </c>
      <c r="B342" t="s">
        <v>112</v>
      </c>
      <c r="C342" t="s">
        <v>395</v>
      </c>
      <c r="D342">
        <v>1</v>
      </c>
      <c r="E342">
        <v>1</v>
      </c>
    </row>
    <row r="343" spans="1:5">
      <c r="A343" s="4">
        <v>44056</v>
      </c>
      <c r="B343" t="s">
        <v>112</v>
      </c>
      <c r="C343" t="s">
        <v>396</v>
      </c>
      <c r="D343">
        <v>1</v>
      </c>
      <c r="E343">
        <v>1</v>
      </c>
    </row>
    <row r="344" spans="1:5">
      <c r="A344" s="4">
        <v>44055</v>
      </c>
      <c r="B344" t="s">
        <v>113</v>
      </c>
      <c r="C344" t="s">
        <v>175</v>
      </c>
      <c r="D344">
        <v>1</v>
      </c>
      <c r="E344">
        <v>1</v>
      </c>
    </row>
    <row r="345" spans="1:5">
      <c r="A345" s="4">
        <v>44055</v>
      </c>
      <c r="B345" t="s">
        <v>113</v>
      </c>
      <c r="C345" t="s">
        <v>397</v>
      </c>
      <c r="D345">
        <v>1</v>
      </c>
      <c r="E345">
        <v>1</v>
      </c>
    </row>
    <row r="346" spans="1:5">
      <c r="A346" s="4">
        <v>44055</v>
      </c>
      <c r="B346" t="s">
        <v>113</v>
      </c>
      <c r="C346" t="s">
        <v>398</v>
      </c>
      <c r="D346">
        <v>1</v>
      </c>
      <c r="E346">
        <v>1</v>
      </c>
    </row>
    <row r="347" spans="1:5">
      <c r="A347" s="4">
        <v>44055</v>
      </c>
      <c r="B347" t="s">
        <v>113</v>
      </c>
      <c r="C347" t="s">
        <v>399</v>
      </c>
      <c r="D347">
        <v>1</v>
      </c>
      <c r="E347">
        <v>1</v>
      </c>
    </row>
    <row r="348" spans="1:5">
      <c r="A348" s="4">
        <v>44055</v>
      </c>
      <c r="B348" t="s">
        <v>113</v>
      </c>
      <c r="C348" t="s">
        <v>400</v>
      </c>
      <c r="D348">
        <v>1</v>
      </c>
      <c r="E348">
        <v>1</v>
      </c>
    </row>
    <row r="349" spans="1:5">
      <c r="A349" s="4">
        <v>44055</v>
      </c>
      <c r="B349" t="s">
        <v>113</v>
      </c>
      <c r="C349" t="s">
        <v>401</v>
      </c>
      <c r="D349">
        <v>1</v>
      </c>
      <c r="E349">
        <v>1</v>
      </c>
    </row>
    <row r="350" spans="1:5">
      <c r="A350" s="4">
        <v>44055</v>
      </c>
      <c r="B350" t="s">
        <v>113</v>
      </c>
      <c r="C350" t="s">
        <v>178</v>
      </c>
      <c r="D350">
        <v>1</v>
      </c>
      <c r="E350">
        <v>1</v>
      </c>
    </row>
    <row r="351" spans="1:5">
      <c r="A351" s="4">
        <v>44055</v>
      </c>
      <c r="B351" t="s">
        <v>113</v>
      </c>
      <c r="C351" t="s">
        <v>402</v>
      </c>
      <c r="D351">
        <v>1</v>
      </c>
      <c r="E351">
        <v>1</v>
      </c>
    </row>
    <row r="352" spans="1:5">
      <c r="A352" s="4">
        <v>44054</v>
      </c>
      <c r="B352" t="s">
        <v>114</v>
      </c>
      <c r="C352" t="s">
        <v>175</v>
      </c>
      <c r="D352">
        <v>1</v>
      </c>
      <c r="E352">
        <v>1</v>
      </c>
    </row>
    <row r="353" spans="1:5">
      <c r="A353" s="4">
        <v>44054</v>
      </c>
      <c r="B353" t="s">
        <v>114</v>
      </c>
      <c r="C353" t="s">
        <v>403</v>
      </c>
      <c r="D353">
        <v>1</v>
      </c>
      <c r="E353">
        <v>1</v>
      </c>
    </row>
    <row r="354" spans="1:5">
      <c r="A354" s="4">
        <v>44054</v>
      </c>
      <c r="B354" t="s">
        <v>114</v>
      </c>
      <c r="C354" t="s">
        <v>404</v>
      </c>
      <c r="D354">
        <v>1</v>
      </c>
      <c r="E354">
        <v>1</v>
      </c>
    </row>
    <row r="355" spans="1:5">
      <c r="A355" s="4">
        <v>44054</v>
      </c>
      <c r="B355" t="s">
        <v>114</v>
      </c>
      <c r="C355" t="s">
        <v>405</v>
      </c>
      <c r="D355">
        <v>1</v>
      </c>
      <c r="E355">
        <v>1</v>
      </c>
    </row>
    <row r="356" spans="1:5">
      <c r="A356" s="4">
        <v>44054</v>
      </c>
      <c r="B356" t="s">
        <v>114</v>
      </c>
      <c r="C356" t="s">
        <v>178</v>
      </c>
      <c r="D356">
        <v>1</v>
      </c>
      <c r="E356">
        <v>1</v>
      </c>
    </row>
    <row r="357" spans="1:5">
      <c r="A357" s="4">
        <v>44054</v>
      </c>
      <c r="B357" t="s">
        <v>114</v>
      </c>
      <c r="C357" t="s">
        <v>406</v>
      </c>
      <c r="D357">
        <v>1</v>
      </c>
      <c r="E357">
        <v>1</v>
      </c>
    </row>
    <row r="358" spans="1:5">
      <c r="A358" s="4">
        <v>44054</v>
      </c>
      <c r="B358" t="s">
        <v>114</v>
      </c>
      <c r="C358" t="s">
        <v>407</v>
      </c>
      <c r="D358">
        <v>1</v>
      </c>
      <c r="E358">
        <v>1</v>
      </c>
    </row>
    <row r="359" spans="1:5">
      <c r="A359" s="4">
        <v>44054</v>
      </c>
      <c r="B359" t="s">
        <v>114</v>
      </c>
      <c r="C359" t="s">
        <v>177</v>
      </c>
      <c r="D359">
        <v>1</v>
      </c>
      <c r="E359">
        <v>1</v>
      </c>
    </row>
    <row r="360" spans="1:5">
      <c r="A360" s="4">
        <v>44054</v>
      </c>
      <c r="B360" t="s">
        <v>114</v>
      </c>
      <c r="C360" t="s">
        <v>408</v>
      </c>
      <c r="D360">
        <v>1</v>
      </c>
      <c r="E360">
        <v>1</v>
      </c>
    </row>
    <row r="361" spans="1:5">
      <c r="A361" s="4">
        <v>44054</v>
      </c>
      <c r="B361" t="s">
        <v>114</v>
      </c>
      <c r="C361" t="s">
        <v>176</v>
      </c>
      <c r="D361">
        <v>1</v>
      </c>
      <c r="E361">
        <v>1</v>
      </c>
    </row>
    <row r="362" spans="1:5">
      <c r="A362" s="4">
        <v>44054</v>
      </c>
      <c r="B362" t="s">
        <v>114</v>
      </c>
      <c r="C362" t="s">
        <v>409</v>
      </c>
      <c r="D362">
        <v>1</v>
      </c>
      <c r="E362">
        <v>1</v>
      </c>
    </row>
    <row r="363" spans="1:5">
      <c r="A363" s="4">
        <v>44054</v>
      </c>
      <c r="B363" t="s">
        <v>114</v>
      </c>
      <c r="C363" t="s">
        <v>410</v>
      </c>
      <c r="D363">
        <v>1</v>
      </c>
      <c r="E363">
        <v>1</v>
      </c>
    </row>
    <row r="364" spans="1:5">
      <c r="A364" s="4">
        <v>44054</v>
      </c>
      <c r="B364" t="s">
        <v>114</v>
      </c>
      <c r="C364" t="s">
        <v>180</v>
      </c>
      <c r="D364">
        <v>1</v>
      </c>
      <c r="E364">
        <v>1</v>
      </c>
    </row>
    <row r="365" spans="1:5">
      <c r="A365" s="4">
        <v>44054</v>
      </c>
      <c r="B365" t="s">
        <v>114</v>
      </c>
      <c r="C365" t="s">
        <v>182</v>
      </c>
      <c r="D365">
        <v>1</v>
      </c>
      <c r="E365">
        <v>1</v>
      </c>
    </row>
    <row r="366" spans="1:5">
      <c r="A366" s="4">
        <v>44054</v>
      </c>
      <c r="B366" t="s">
        <v>114</v>
      </c>
      <c r="C366" t="s">
        <v>181</v>
      </c>
      <c r="D366">
        <v>1</v>
      </c>
      <c r="E366">
        <v>1</v>
      </c>
    </row>
    <row r="367" spans="1:5">
      <c r="A367" s="4">
        <v>44053</v>
      </c>
      <c r="B367" t="s">
        <v>108</v>
      </c>
      <c r="C367" t="s">
        <v>175</v>
      </c>
      <c r="D367">
        <v>1</v>
      </c>
      <c r="E367">
        <v>1</v>
      </c>
    </row>
    <row r="368" spans="1:5">
      <c r="A368" s="4">
        <v>44053</v>
      </c>
      <c r="B368" t="s">
        <v>108</v>
      </c>
      <c r="C368" t="s">
        <v>176</v>
      </c>
      <c r="D368">
        <v>1</v>
      </c>
      <c r="E368">
        <v>1</v>
      </c>
    </row>
    <row r="369" spans="1:5">
      <c r="A369" s="4">
        <v>44053</v>
      </c>
      <c r="B369" t="s">
        <v>108</v>
      </c>
      <c r="C369" t="s">
        <v>411</v>
      </c>
      <c r="D369">
        <v>1</v>
      </c>
      <c r="E369">
        <v>1</v>
      </c>
    </row>
    <row r="370" spans="1:5">
      <c r="A370" s="4">
        <v>44053</v>
      </c>
      <c r="B370" t="s">
        <v>108</v>
      </c>
      <c r="C370" t="s">
        <v>412</v>
      </c>
      <c r="D370">
        <v>1</v>
      </c>
      <c r="E370">
        <v>1</v>
      </c>
    </row>
    <row r="371" spans="1:5">
      <c r="A371" s="4">
        <v>44053</v>
      </c>
      <c r="B371" t="s">
        <v>108</v>
      </c>
      <c r="C371" t="s">
        <v>413</v>
      </c>
      <c r="D371">
        <v>1</v>
      </c>
      <c r="E371">
        <v>1</v>
      </c>
    </row>
    <row r="372" spans="1:5">
      <c r="A372" s="4">
        <v>44053</v>
      </c>
      <c r="B372" t="s">
        <v>108</v>
      </c>
      <c r="C372" t="s">
        <v>211</v>
      </c>
      <c r="D372">
        <v>1</v>
      </c>
      <c r="E372">
        <v>1</v>
      </c>
    </row>
    <row r="373" spans="1:5">
      <c r="A373" s="4">
        <v>44053</v>
      </c>
      <c r="B373" t="s">
        <v>108</v>
      </c>
      <c r="C373" t="s">
        <v>414</v>
      </c>
      <c r="D373">
        <v>1</v>
      </c>
      <c r="E373">
        <v>1</v>
      </c>
    </row>
    <row r="374" spans="1:5">
      <c r="A374" s="4">
        <v>44053</v>
      </c>
      <c r="B374" t="s">
        <v>108</v>
      </c>
      <c r="C374" t="s">
        <v>177</v>
      </c>
      <c r="D374">
        <v>1</v>
      </c>
      <c r="E374">
        <v>1</v>
      </c>
    </row>
    <row r="375" spans="1:5">
      <c r="A375" s="4">
        <v>40399</v>
      </c>
      <c r="B375" t="s">
        <v>109</v>
      </c>
      <c r="C375" t="s">
        <v>175</v>
      </c>
      <c r="D375">
        <v>1</v>
      </c>
      <c r="E375">
        <v>1</v>
      </c>
    </row>
    <row r="376" spans="1:5">
      <c r="A376" s="4">
        <v>40399</v>
      </c>
      <c r="B376" t="s">
        <v>109</v>
      </c>
      <c r="C376" t="s">
        <v>415</v>
      </c>
      <c r="D376">
        <v>1</v>
      </c>
      <c r="E376">
        <v>1</v>
      </c>
    </row>
    <row r="377" spans="1:5">
      <c r="A377" s="4">
        <v>40399</v>
      </c>
      <c r="B377" t="s">
        <v>109</v>
      </c>
      <c r="C377" t="s">
        <v>176</v>
      </c>
      <c r="D377">
        <v>1</v>
      </c>
      <c r="E377">
        <v>1</v>
      </c>
    </row>
    <row r="378" spans="1:5">
      <c r="A378" s="4">
        <v>40399</v>
      </c>
      <c r="B378" t="s">
        <v>109</v>
      </c>
      <c r="C378" t="s">
        <v>416</v>
      </c>
      <c r="D378">
        <v>1</v>
      </c>
      <c r="E378">
        <v>1</v>
      </c>
    </row>
    <row r="379" spans="1:5">
      <c r="A379" s="4">
        <v>40399</v>
      </c>
      <c r="B379" t="s">
        <v>109</v>
      </c>
      <c r="C379" t="s">
        <v>417</v>
      </c>
      <c r="D379">
        <v>1</v>
      </c>
      <c r="E379">
        <v>1</v>
      </c>
    </row>
    <row r="380" spans="1:5">
      <c r="A380" s="4">
        <v>40399</v>
      </c>
      <c r="B380" t="s">
        <v>109</v>
      </c>
      <c r="C380" t="s">
        <v>418</v>
      </c>
      <c r="D380">
        <v>1</v>
      </c>
      <c r="E380">
        <v>1</v>
      </c>
    </row>
    <row r="381" spans="1:5">
      <c r="A381" s="4">
        <v>40399</v>
      </c>
      <c r="B381" t="s">
        <v>109</v>
      </c>
      <c r="C381" t="s">
        <v>419</v>
      </c>
      <c r="D381">
        <v>1</v>
      </c>
      <c r="E381">
        <v>1</v>
      </c>
    </row>
    <row r="382" spans="1:5">
      <c r="A382" s="4">
        <v>40399</v>
      </c>
      <c r="B382" t="s">
        <v>109</v>
      </c>
      <c r="C382" t="s">
        <v>177</v>
      </c>
      <c r="D382">
        <v>1</v>
      </c>
      <c r="E382">
        <v>1</v>
      </c>
    </row>
    <row r="383" spans="1:5">
      <c r="A383" s="4">
        <v>40399</v>
      </c>
      <c r="B383" t="s">
        <v>109</v>
      </c>
      <c r="C383" t="s">
        <v>420</v>
      </c>
      <c r="D383">
        <v>1</v>
      </c>
      <c r="E383">
        <v>1</v>
      </c>
    </row>
    <row r="384" spans="1:5">
      <c r="A384" s="4">
        <v>40399</v>
      </c>
      <c r="B384" t="s">
        <v>109</v>
      </c>
      <c r="C384" t="s">
        <v>421</v>
      </c>
      <c r="D384">
        <v>1</v>
      </c>
      <c r="E384">
        <v>1</v>
      </c>
    </row>
    <row r="385" spans="1:5">
      <c r="A385" s="4">
        <v>44051</v>
      </c>
      <c r="B385" t="s">
        <v>110</v>
      </c>
      <c r="C385" t="s">
        <v>175</v>
      </c>
      <c r="D385">
        <v>1</v>
      </c>
      <c r="E385">
        <v>1</v>
      </c>
    </row>
    <row r="386" spans="1:5">
      <c r="A386" s="4">
        <v>44051</v>
      </c>
      <c r="B386" t="s">
        <v>110</v>
      </c>
      <c r="C386" t="s">
        <v>422</v>
      </c>
      <c r="D386">
        <v>1</v>
      </c>
      <c r="E386">
        <v>1</v>
      </c>
    </row>
    <row r="387" spans="1:5">
      <c r="A387" s="4">
        <v>44051</v>
      </c>
      <c r="B387" t="s">
        <v>110</v>
      </c>
      <c r="C387" t="s">
        <v>417</v>
      </c>
      <c r="D387">
        <v>1</v>
      </c>
      <c r="E387">
        <v>1</v>
      </c>
    </row>
    <row r="388" spans="1:5">
      <c r="A388" s="4">
        <v>44051</v>
      </c>
      <c r="B388" t="s">
        <v>110</v>
      </c>
      <c r="C388" t="s">
        <v>423</v>
      </c>
      <c r="D388">
        <v>1</v>
      </c>
      <c r="E388">
        <v>1</v>
      </c>
    </row>
    <row r="389" spans="1:5">
      <c r="A389" s="4">
        <v>44051</v>
      </c>
      <c r="B389" t="s">
        <v>110</v>
      </c>
      <c r="C389" t="s">
        <v>424</v>
      </c>
      <c r="D389">
        <v>1</v>
      </c>
      <c r="E389">
        <v>1</v>
      </c>
    </row>
    <row r="390" spans="1:5">
      <c r="A390" s="4">
        <v>44051</v>
      </c>
      <c r="B390" t="s">
        <v>110</v>
      </c>
      <c r="C390" t="s">
        <v>177</v>
      </c>
      <c r="D390">
        <v>1</v>
      </c>
      <c r="E390">
        <v>1</v>
      </c>
    </row>
    <row r="391" spans="1:5">
      <c r="A391" s="4">
        <v>44051</v>
      </c>
      <c r="B391" t="s">
        <v>110</v>
      </c>
      <c r="C391" t="s">
        <v>425</v>
      </c>
      <c r="D391">
        <v>1</v>
      </c>
      <c r="E391">
        <v>1</v>
      </c>
    </row>
    <row r="392" spans="1:5">
      <c r="A392" s="4">
        <v>44051</v>
      </c>
      <c r="B392" t="s">
        <v>110</v>
      </c>
      <c r="C392" t="s">
        <v>426</v>
      </c>
      <c r="D392">
        <v>1</v>
      </c>
      <c r="E392">
        <v>1</v>
      </c>
    </row>
    <row r="393" spans="1:5">
      <c r="A393" s="4">
        <v>44051</v>
      </c>
      <c r="B393" t="s">
        <v>110</v>
      </c>
      <c r="C393" t="s">
        <v>179</v>
      </c>
      <c r="D393">
        <v>1</v>
      </c>
      <c r="E393">
        <v>1</v>
      </c>
    </row>
    <row r="394" spans="1:5">
      <c r="A394" s="4">
        <v>44051</v>
      </c>
      <c r="B394" t="s">
        <v>110</v>
      </c>
      <c r="C394" t="s">
        <v>182</v>
      </c>
      <c r="D394">
        <v>1</v>
      </c>
      <c r="E394">
        <v>1</v>
      </c>
    </row>
    <row r="395" spans="1:5">
      <c r="A395" s="4">
        <v>44051</v>
      </c>
      <c r="B395" t="s">
        <v>110</v>
      </c>
      <c r="C395" t="s">
        <v>427</v>
      </c>
      <c r="D395">
        <v>1</v>
      </c>
      <c r="E395">
        <v>1</v>
      </c>
    </row>
    <row r="396" spans="1:5">
      <c r="A396" s="4">
        <v>44051</v>
      </c>
      <c r="B396" t="s">
        <v>110</v>
      </c>
      <c r="C396" t="s">
        <v>428</v>
      </c>
      <c r="D396">
        <v>1</v>
      </c>
      <c r="E396">
        <v>1</v>
      </c>
    </row>
    <row r="397" spans="1:5">
      <c r="A397" s="4">
        <v>44051</v>
      </c>
      <c r="B397" t="s">
        <v>110</v>
      </c>
      <c r="C397" t="s">
        <v>181</v>
      </c>
      <c r="D397">
        <v>1</v>
      </c>
      <c r="E397">
        <v>1</v>
      </c>
    </row>
    <row r="398" spans="1:5">
      <c r="A398" s="4">
        <v>44050</v>
      </c>
      <c r="B398" t="s">
        <v>111</v>
      </c>
      <c r="C398" t="s">
        <v>175</v>
      </c>
      <c r="D398">
        <v>1</v>
      </c>
      <c r="E398">
        <v>1</v>
      </c>
    </row>
    <row r="399" spans="1:5">
      <c r="A399" s="4">
        <v>44050</v>
      </c>
      <c r="B399" t="s">
        <v>111</v>
      </c>
      <c r="C399" t="s">
        <v>176</v>
      </c>
      <c r="D399">
        <v>1</v>
      </c>
      <c r="E399">
        <v>1</v>
      </c>
    </row>
    <row r="400" spans="1:5">
      <c r="A400" s="4">
        <v>44050</v>
      </c>
      <c r="B400" t="s">
        <v>111</v>
      </c>
      <c r="C400" t="s">
        <v>183</v>
      </c>
      <c r="D400">
        <v>1</v>
      </c>
      <c r="E400">
        <v>1</v>
      </c>
    </row>
    <row r="401" spans="1:5">
      <c r="A401" s="4">
        <v>44050</v>
      </c>
      <c r="B401" t="s">
        <v>111</v>
      </c>
      <c r="C401" t="s">
        <v>429</v>
      </c>
      <c r="D401">
        <v>1</v>
      </c>
      <c r="E401">
        <v>1</v>
      </c>
    </row>
    <row r="402" spans="1:5">
      <c r="A402" s="4">
        <v>44050</v>
      </c>
      <c r="B402" t="s">
        <v>111</v>
      </c>
      <c r="C402" t="s">
        <v>430</v>
      </c>
      <c r="D402">
        <v>1</v>
      </c>
      <c r="E402">
        <v>1</v>
      </c>
    </row>
    <row r="403" spans="1:5">
      <c r="A403" s="4">
        <v>44050</v>
      </c>
      <c r="B403" t="s">
        <v>111</v>
      </c>
      <c r="C403" t="s">
        <v>431</v>
      </c>
      <c r="D403">
        <v>1</v>
      </c>
      <c r="E403">
        <v>1</v>
      </c>
    </row>
    <row r="404" spans="1:5">
      <c r="A404" s="4">
        <v>44050</v>
      </c>
      <c r="B404" t="s">
        <v>111</v>
      </c>
      <c r="C404" t="s">
        <v>432</v>
      </c>
      <c r="D404">
        <v>1</v>
      </c>
      <c r="E404">
        <v>1</v>
      </c>
    </row>
    <row r="405" spans="1:5">
      <c r="A405" s="4">
        <v>44050</v>
      </c>
      <c r="B405" t="s">
        <v>111</v>
      </c>
      <c r="C405" t="s">
        <v>433</v>
      </c>
      <c r="D405">
        <v>1</v>
      </c>
      <c r="E405">
        <v>1</v>
      </c>
    </row>
    <row r="406" spans="1:5">
      <c r="A406" s="4">
        <v>44050</v>
      </c>
      <c r="B406" t="s">
        <v>111</v>
      </c>
      <c r="C406" t="s">
        <v>434</v>
      </c>
      <c r="D406">
        <v>1</v>
      </c>
      <c r="E406">
        <v>1</v>
      </c>
    </row>
    <row r="407" spans="1:5">
      <c r="A407" s="4">
        <v>44050</v>
      </c>
      <c r="B407" t="s">
        <v>111</v>
      </c>
      <c r="C407" t="s">
        <v>435</v>
      </c>
      <c r="D407">
        <v>1</v>
      </c>
      <c r="E407">
        <v>1</v>
      </c>
    </row>
    <row r="408" spans="1:5">
      <c r="A408" s="4">
        <v>44050</v>
      </c>
      <c r="B408" t="s">
        <v>111</v>
      </c>
      <c r="C408" t="s">
        <v>436</v>
      </c>
      <c r="D408">
        <v>1</v>
      </c>
      <c r="E408">
        <v>1</v>
      </c>
    </row>
    <row r="409" spans="1:5">
      <c r="A409" s="4">
        <v>44050</v>
      </c>
      <c r="B409" t="s">
        <v>111</v>
      </c>
      <c r="C409" t="s">
        <v>177</v>
      </c>
      <c r="D409">
        <v>1</v>
      </c>
      <c r="E409">
        <v>1</v>
      </c>
    </row>
    <row r="410" spans="1:5">
      <c r="A410" s="4">
        <v>44050</v>
      </c>
      <c r="B410" t="s">
        <v>111</v>
      </c>
      <c r="C410" t="s">
        <v>437</v>
      </c>
      <c r="D410">
        <v>1</v>
      </c>
      <c r="E410">
        <v>3</v>
      </c>
    </row>
    <row r="411" spans="1:5">
      <c r="A411" s="4">
        <v>44050</v>
      </c>
      <c r="B411" t="s">
        <v>111</v>
      </c>
      <c r="C411" t="s">
        <v>438</v>
      </c>
      <c r="D411">
        <v>1</v>
      </c>
      <c r="E411">
        <v>1</v>
      </c>
    </row>
    <row r="412" spans="1:5">
      <c r="A412" s="4">
        <v>44050</v>
      </c>
      <c r="B412" t="s">
        <v>111</v>
      </c>
      <c r="C412" t="s">
        <v>182</v>
      </c>
      <c r="D412">
        <v>1</v>
      </c>
      <c r="E412">
        <v>1</v>
      </c>
    </row>
    <row r="413" spans="1:5">
      <c r="A413" s="4">
        <v>44050</v>
      </c>
      <c r="B413" t="s">
        <v>111</v>
      </c>
      <c r="C413" t="s">
        <v>439</v>
      </c>
      <c r="D413">
        <v>1</v>
      </c>
      <c r="E413">
        <v>1</v>
      </c>
    </row>
    <row r="414" spans="1:5">
      <c r="A414" s="4">
        <v>44050</v>
      </c>
      <c r="B414" t="s">
        <v>111</v>
      </c>
      <c r="C414" t="s">
        <v>440</v>
      </c>
      <c r="D414">
        <v>1</v>
      </c>
      <c r="E414">
        <v>1</v>
      </c>
    </row>
    <row r="415" spans="1:5">
      <c r="A415" s="4">
        <v>44049</v>
      </c>
      <c r="B415" t="s">
        <v>112</v>
      </c>
      <c r="C415" t="s">
        <v>175</v>
      </c>
      <c r="D415">
        <v>1</v>
      </c>
      <c r="E415">
        <v>1</v>
      </c>
    </row>
    <row r="416" spans="1:5">
      <c r="A416" s="4">
        <v>44049</v>
      </c>
      <c r="B416" t="s">
        <v>112</v>
      </c>
      <c r="C416" t="s">
        <v>176</v>
      </c>
      <c r="D416">
        <v>1</v>
      </c>
      <c r="E416">
        <v>1</v>
      </c>
    </row>
    <row r="417" spans="1:5">
      <c r="A417" s="4">
        <v>44049</v>
      </c>
      <c r="B417" t="s">
        <v>112</v>
      </c>
      <c r="C417" t="s">
        <v>177</v>
      </c>
      <c r="D417">
        <v>1</v>
      </c>
      <c r="E417">
        <v>1</v>
      </c>
    </row>
    <row r="418" spans="1:5">
      <c r="A418" s="4">
        <v>44049</v>
      </c>
      <c r="B418" t="s">
        <v>112</v>
      </c>
      <c r="C418" t="s">
        <v>441</v>
      </c>
      <c r="D418">
        <v>1</v>
      </c>
      <c r="E418">
        <v>1</v>
      </c>
    </row>
    <row r="419" spans="1:5">
      <c r="A419" s="4">
        <v>44049</v>
      </c>
      <c r="B419" t="s">
        <v>112</v>
      </c>
      <c r="C419" t="s">
        <v>442</v>
      </c>
      <c r="D419">
        <v>1</v>
      </c>
      <c r="E419">
        <v>1</v>
      </c>
    </row>
    <row r="420" spans="1:5">
      <c r="A420" s="4">
        <v>44049</v>
      </c>
      <c r="B420" t="s">
        <v>112</v>
      </c>
      <c r="C420" t="s">
        <v>394</v>
      </c>
      <c r="D420">
        <v>1</v>
      </c>
      <c r="E420">
        <v>1</v>
      </c>
    </row>
    <row r="421" spans="1:5">
      <c r="A421" s="4">
        <v>44049</v>
      </c>
      <c r="B421" t="s">
        <v>112</v>
      </c>
      <c r="C421" t="s">
        <v>179</v>
      </c>
      <c r="D421">
        <v>1</v>
      </c>
      <c r="E421">
        <v>1</v>
      </c>
    </row>
    <row r="422" spans="1:5">
      <c r="A422" s="4">
        <v>44048</v>
      </c>
      <c r="B422" t="s">
        <v>113</v>
      </c>
      <c r="C422" t="s">
        <v>175</v>
      </c>
      <c r="D422">
        <v>1</v>
      </c>
      <c r="E422">
        <v>1</v>
      </c>
    </row>
    <row r="423" spans="1:5">
      <c r="A423" s="4">
        <v>44048</v>
      </c>
      <c r="B423" t="s">
        <v>113</v>
      </c>
      <c r="C423" t="s">
        <v>443</v>
      </c>
      <c r="D423">
        <v>1</v>
      </c>
      <c r="E423">
        <v>1</v>
      </c>
    </row>
    <row r="424" spans="1:5">
      <c r="A424" s="4">
        <v>44048</v>
      </c>
      <c r="B424" t="s">
        <v>113</v>
      </c>
      <c r="C424" t="s">
        <v>444</v>
      </c>
      <c r="D424">
        <v>1</v>
      </c>
      <c r="E424">
        <v>1</v>
      </c>
    </row>
    <row r="425" spans="1:5">
      <c r="A425" s="4">
        <v>44048</v>
      </c>
      <c r="B425" t="s">
        <v>113</v>
      </c>
      <c r="C425" t="s">
        <v>441</v>
      </c>
      <c r="D425">
        <v>1</v>
      </c>
      <c r="E425">
        <v>1</v>
      </c>
    </row>
    <row r="426" spans="1:5">
      <c r="A426" s="4">
        <v>44048</v>
      </c>
      <c r="B426" t="s">
        <v>113</v>
      </c>
      <c r="C426" t="s">
        <v>445</v>
      </c>
      <c r="D426">
        <v>1</v>
      </c>
      <c r="E426">
        <v>1</v>
      </c>
    </row>
    <row r="427" spans="1:5">
      <c r="A427" s="4">
        <v>44048</v>
      </c>
      <c r="B427" t="s">
        <v>113</v>
      </c>
      <c r="C427" t="s">
        <v>446</v>
      </c>
      <c r="D427">
        <v>1</v>
      </c>
      <c r="E427">
        <v>1</v>
      </c>
    </row>
    <row r="428" spans="1:5">
      <c r="A428" s="4">
        <v>44047</v>
      </c>
      <c r="B428" t="s">
        <v>114</v>
      </c>
      <c r="C428" t="s">
        <v>175</v>
      </c>
      <c r="D428">
        <v>1</v>
      </c>
      <c r="E428">
        <v>1</v>
      </c>
    </row>
    <row r="429" spans="1:5">
      <c r="A429" s="4">
        <v>44047</v>
      </c>
      <c r="B429" t="s">
        <v>114</v>
      </c>
      <c r="C429" t="s">
        <v>441</v>
      </c>
      <c r="D429">
        <v>1</v>
      </c>
      <c r="E429">
        <v>1</v>
      </c>
    </row>
    <row r="430" spans="1:5">
      <c r="A430" s="4">
        <v>44047</v>
      </c>
      <c r="B430" t="s">
        <v>114</v>
      </c>
      <c r="C430" t="s">
        <v>447</v>
      </c>
      <c r="D430">
        <v>1</v>
      </c>
      <c r="E430">
        <v>1</v>
      </c>
    </row>
    <row r="431" spans="1:5">
      <c r="A431" s="4">
        <v>44047</v>
      </c>
      <c r="B431" t="s">
        <v>114</v>
      </c>
      <c r="C431" t="s">
        <v>448</v>
      </c>
      <c r="D431">
        <v>1</v>
      </c>
      <c r="E431">
        <v>1</v>
      </c>
    </row>
    <row r="432" spans="1:5">
      <c r="A432" s="4">
        <v>44047</v>
      </c>
      <c r="B432" t="s">
        <v>114</v>
      </c>
      <c r="C432" t="s">
        <v>449</v>
      </c>
      <c r="D432">
        <v>1</v>
      </c>
      <c r="E432">
        <v>1</v>
      </c>
    </row>
    <row r="433" spans="1:5">
      <c r="A433" s="4">
        <v>44046</v>
      </c>
      <c r="B433" t="s">
        <v>108</v>
      </c>
      <c r="C433" t="s">
        <v>175</v>
      </c>
      <c r="D433">
        <v>1</v>
      </c>
      <c r="E433">
        <v>1</v>
      </c>
    </row>
    <row r="434" spans="1:5">
      <c r="A434" s="4">
        <v>44046</v>
      </c>
      <c r="B434" t="s">
        <v>108</v>
      </c>
      <c r="C434" t="s">
        <v>176</v>
      </c>
      <c r="D434">
        <v>1</v>
      </c>
      <c r="E434">
        <v>1</v>
      </c>
    </row>
    <row r="435" spans="1:5">
      <c r="A435" s="4">
        <v>44046</v>
      </c>
      <c r="B435" t="s">
        <v>108</v>
      </c>
      <c r="C435" t="s">
        <v>450</v>
      </c>
      <c r="D435">
        <v>1</v>
      </c>
      <c r="E435">
        <v>1</v>
      </c>
    </row>
    <row r="436" spans="1:5">
      <c r="A436" s="4">
        <v>44046</v>
      </c>
      <c r="B436" t="s">
        <v>108</v>
      </c>
      <c r="C436" t="s">
        <v>451</v>
      </c>
      <c r="D436">
        <v>1</v>
      </c>
      <c r="E436">
        <v>1</v>
      </c>
    </row>
    <row r="437" spans="1:5">
      <c r="A437" s="4">
        <v>44046</v>
      </c>
      <c r="B437" t="s">
        <v>108</v>
      </c>
      <c r="C437" t="s">
        <v>452</v>
      </c>
      <c r="D437">
        <v>1</v>
      </c>
      <c r="E437">
        <v>1</v>
      </c>
    </row>
    <row r="438" spans="1:5">
      <c r="A438" s="4">
        <v>44046</v>
      </c>
      <c r="B438" t="s">
        <v>108</v>
      </c>
      <c r="C438" t="s">
        <v>177</v>
      </c>
      <c r="D438">
        <v>1</v>
      </c>
      <c r="E438">
        <v>1</v>
      </c>
    </row>
    <row r="439" spans="1:5">
      <c r="A439" s="4">
        <v>44046</v>
      </c>
      <c r="B439" t="s">
        <v>108</v>
      </c>
      <c r="C439" t="s">
        <v>453</v>
      </c>
      <c r="D439">
        <v>1</v>
      </c>
      <c r="E439">
        <v>1</v>
      </c>
    </row>
    <row r="440" spans="1:5">
      <c r="A440" s="4">
        <v>44045</v>
      </c>
      <c r="B440" t="s">
        <v>109</v>
      </c>
      <c r="C440" t="s">
        <v>175</v>
      </c>
      <c r="D440">
        <v>1</v>
      </c>
      <c r="E440">
        <v>1</v>
      </c>
    </row>
    <row r="441" spans="1:5">
      <c r="A441" s="4">
        <v>44045</v>
      </c>
      <c r="B441" t="s">
        <v>109</v>
      </c>
      <c r="C441" t="s">
        <v>454</v>
      </c>
      <c r="D441">
        <v>1</v>
      </c>
      <c r="E441">
        <v>1</v>
      </c>
    </row>
    <row r="442" spans="1:5">
      <c r="A442" s="4">
        <v>44045</v>
      </c>
      <c r="B442" t="s">
        <v>109</v>
      </c>
      <c r="C442" t="s">
        <v>455</v>
      </c>
      <c r="D442">
        <v>1</v>
      </c>
      <c r="E442">
        <v>1</v>
      </c>
    </row>
    <row r="443" spans="1:5">
      <c r="A443" s="4">
        <v>44045</v>
      </c>
      <c r="B443" t="s">
        <v>109</v>
      </c>
      <c r="C443" t="s">
        <v>456</v>
      </c>
      <c r="D443">
        <v>1</v>
      </c>
      <c r="E443">
        <v>1</v>
      </c>
    </row>
    <row r="444" spans="1:5">
      <c r="A444" s="4">
        <v>44045</v>
      </c>
      <c r="B444" t="s">
        <v>109</v>
      </c>
      <c r="C444" t="s">
        <v>177</v>
      </c>
      <c r="D444">
        <v>1</v>
      </c>
      <c r="E444">
        <v>1</v>
      </c>
    </row>
    <row r="445" spans="1:5">
      <c r="A445" s="4">
        <v>44045</v>
      </c>
      <c r="B445" t="s">
        <v>109</v>
      </c>
      <c r="C445" t="s">
        <v>457</v>
      </c>
      <c r="D445">
        <v>1</v>
      </c>
      <c r="E445">
        <v>1</v>
      </c>
    </row>
    <row r="446" spans="1:5">
      <c r="A446" s="4">
        <v>44045</v>
      </c>
      <c r="B446" t="s">
        <v>109</v>
      </c>
      <c r="C446" t="s">
        <v>458</v>
      </c>
      <c r="D446">
        <v>1</v>
      </c>
      <c r="E446">
        <v>1</v>
      </c>
    </row>
    <row r="447" spans="1:5">
      <c r="A447" s="4">
        <v>44045</v>
      </c>
      <c r="B447" t="s">
        <v>109</v>
      </c>
      <c r="C447" t="s">
        <v>459</v>
      </c>
      <c r="D447">
        <v>1</v>
      </c>
      <c r="E447">
        <v>1</v>
      </c>
    </row>
    <row r="448" spans="1:5">
      <c r="A448" s="4">
        <v>44045</v>
      </c>
      <c r="B448" t="s">
        <v>109</v>
      </c>
      <c r="C448" t="s">
        <v>460</v>
      </c>
      <c r="D448">
        <v>1</v>
      </c>
      <c r="E448">
        <v>1</v>
      </c>
    </row>
    <row r="449" spans="1:5">
      <c r="A449" s="4">
        <v>44045</v>
      </c>
      <c r="B449" t="s">
        <v>109</v>
      </c>
      <c r="C449" t="s">
        <v>461</v>
      </c>
      <c r="D449">
        <v>1</v>
      </c>
      <c r="E449">
        <v>1</v>
      </c>
    </row>
    <row r="450" spans="1:5">
      <c r="A450" s="4">
        <v>44045</v>
      </c>
      <c r="B450" t="s">
        <v>109</v>
      </c>
      <c r="C450" t="s">
        <v>462</v>
      </c>
      <c r="D450">
        <v>1</v>
      </c>
      <c r="E450">
        <v>1</v>
      </c>
    </row>
    <row r="451" spans="1:5">
      <c r="A451" s="4">
        <v>44045</v>
      </c>
      <c r="B451" t="s">
        <v>109</v>
      </c>
      <c r="C451" t="s">
        <v>463</v>
      </c>
      <c r="D451">
        <v>1</v>
      </c>
      <c r="E451">
        <v>1</v>
      </c>
    </row>
    <row r="452" spans="1:5">
      <c r="A452" s="4">
        <v>44044</v>
      </c>
      <c r="B452" t="s">
        <v>110</v>
      </c>
      <c r="C452" t="s">
        <v>175</v>
      </c>
      <c r="D452">
        <v>1</v>
      </c>
      <c r="E452">
        <v>1</v>
      </c>
    </row>
    <row r="453" spans="1:5">
      <c r="A453" s="4">
        <v>44044</v>
      </c>
      <c r="B453" t="s">
        <v>110</v>
      </c>
      <c r="C453" t="s">
        <v>464</v>
      </c>
      <c r="D453">
        <v>1</v>
      </c>
      <c r="E453">
        <v>1</v>
      </c>
    </row>
    <row r="454" spans="1:5">
      <c r="A454" s="4">
        <v>44044</v>
      </c>
      <c r="B454" t="s">
        <v>110</v>
      </c>
      <c r="C454" t="s">
        <v>176</v>
      </c>
      <c r="D454">
        <v>1</v>
      </c>
      <c r="E454">
        <v>1</v>
      </c>
    </row>
    <row r="455" spans="1:5">
      <c r="A455" s="4">
        <v>44044</v>
      </c>
      <c r="B455" t="s">
        <v>110</v>
      </c>
      <c r="C455" t="s">
        <v>177</v>
      </c>
      <c r="D455">
        <v>1</v>
      </c>
      <c r="E455">
        <v>1</v>
      </c>
    </row>
    <row r="456" spans="1:5">
      <c r="A456" s="4">
        <v>44044</v>
      </c>
      <c r="B456" t="s">
        <v>110</v>
      </c>
      <c r="C456" t="s">
        <v>465</v>
      </c>
      <c r="D456">
        <v>1</v>
      </c>
      <c r="E456">
        <v>1</v>
      </c>
    </row>
    <row r="457" spans="1:5">
      <c r="A457" s="4">
        <v>44044</v>
      </c>
      <c r="B457" t="s">
        <v>110</v>
      </c>
      <c r="C457" t="s">
        <v>466</v>
      </c>
      <c r="D457">
        <v>1</v>
      </c>
      <c r="E457">
        <v>1</v>
      </c>
    </row>
    <row r="458" spans="1:5">
      <c r="A458" s="4">
        <v>44044</v>
      </c>
      <c r="B458" t="s">
        <v>110</v>
      </c>
      <c r="C458" t="s">
        <v>467</v>
      </c>
      <c r="D458">
        <v>1</v>
      </c>
      <c r="E458">
        <v>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800100</xdr:colOff>
                    <xdr:row>8</xdr:row>
                    <xdr:rowOff>190500</xdr:rowOff>
                  </from>
                  <to>
                    <xdr:col>7</xdr:col>
                    <xdr:colOff>673100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504"/>
  <sheetViews>
    <sheetView workbookViewId="0">
      <selection sqref="A1:A1048576"/>
    </sheetView>
  </sheetViews>
  <sheetFormatPr baseColWidth="10" defaultColWidth="10.83203125" defaultRowHeight="16"/>
  <sheetData>
    <row r="1" spans="1:1">
      <c r="A1" t="s">
        <v>508</v>
      </c>
    </row>
    <row r="2" spans="1:1">
      <c r="A2" t="s">
        <v>0</v>
      </c>
    </row>
    <row r="3" spans="1:1">
      <c r="A3" t="s">
        <v>1</v>
      </c>
    </row>
    <row r="4" spans="1:1">
      <c r="A4" t="s">
        <v>509</v>
      </c>
    </row>
    <row r="5" spans="1:1">
      <c r="A5" t="s">
        <v>510</v>
      </c>
    </row>
    <row r="6" spans="1:1">
      <c r="A6" t="s">
        <v>2</v>
      </c>
    </row>
    <row r="7" spans="1:1">
      <c r="A7" t="s">
        <v>4</v>
      </c>
    </row>
    <row r="8" spans="1:1">
      <c r="A8" t="s">
        <v>3</v>
      </c>
    </row>
    <row r="9" spans="1:1">
      <c r="A9" t="s">
        <v>511</v>
      </c>
    </row>
    <row r="10" spans="1:1">
      <c r="A10" t="s">
        <v>5</v>
      </c>
    </row>
    <row r="11" spans="1:1">
      <c r="A11" t="s">
        <v>6</v>
      </c>
    </row>
    <row r="12" spans="1:1">
      <c r="A12" t="s">
        <v>7</v>
      </c>
    </row>
    <row r="13" spans="1:1">
      <c r="A13" t="s">
        <v>8</v>
      </c>
    </row>
    <row r="14" spans="1:1">
      <c r="A14" t="s">
        <v>243</v>
      </c>
    </row>
    <row r="15" spans="1:1">
      <c r="A15" t="s">
        <v>602</v>
      </c>
    </row>
    <row r="16" spans="1:1">
      <c r="A16" t="s">
        <v>512</v>
      </c>
    </row>
    <row r="17" spans="1:1">
      <c r="A17" t="s">
        <v>9</v>
      </c>
    </row>
    <row r="18" spans="1:1">
      <c r="A18" t="s">
        <v>10</v>
      </c>
    </row>
    <row r="19" spans="1:1">
      <c r="A19" t="s">
        <v>11</v>
      </c>
    </row>
    <row r="20" spans="1:1">
      <c r="A20" t="s">
        <v>12</v>
      </c>
    </row>
    <row r="21" spans="1:1">
      <c r="A21" t="s">
        <v>13</v>
      </c>
    </row>
    <row r="22" spans="1:1">
      <c r="A22" t="s">
        <v>513</v>
      </c>
    </row>
    <row r="23" spans="1:1">
      <c r="A23" t="s">
        <v>14</v>
      </c>
    </row>
    <row r="24" spans="1:1">
      <c r="A24" t="s">
        <v>15</v>
      </c>
    </row>
    <row r="25" spans="1:1">
      <c r="A25" t="s">
        <v>514</v>
      </c>
    </row>
    <row r="26" spans="1:1">
      <c r="A26" t="s">
        <v>118</v>
      </c>
    </row>
    <row r="27" spans="1:1">
      <c r="A27" t="s">
        <v>16</v>
      </c>
    </row>
    <row r="28" spans="1:1">
      <c r="A28" t="s">
        <v>17</v>
      </c>
    </row>
    <row r="29" spans="1:1">
      <c r="A29" t="s">
        <v>515</v>
      </c>
    </row>
    <row r="30" spans="1:1">
      <c r="A30" t="s">
        <v>18</v>
      </c>
    </row>
    <row r="31" spans="1:1">
      <c r="A31" t="s">
        <v>19</v>
      </c>
    </row>
    <row r="32" spans="1:1">
      <c r="A32" t="s">
        <v>516</v>
      </c>
    </row>
    <row r="33" spans="1:1">
      <c r="A33" t="s">
        <v>20</v>
      </c>
    </row>
    <row r="34" spans="1:1">
      <c r="A34" t="s">
        <v>517</v>
      </c>
    </row>
    <row r="35" spans="1:1">
      <c r="A35" t="s">
        <v>21</v>
      </c>
    </row>
    <row r="36" spans="1:1">
      <c r="A36" t="s">
        <v>22</v>
      </c>
    </row>
    <row r="37" spans="1:1">
      <c r="A37" t="s">
        <v>518</v>
      </c>
    </row>
    <row r="38" spans="1:1">
      <c r="A38" t="s">
        <v>519</v>
      </c>
    </row>
    <row r="39" spans="1:1">
      <c r="A39" t="s">
        <v>23</v>
      </c>
    </row>
    <row r="40" spans="1:1">
      <c r="A40" t="s">
        <v>24</v>
      </c>
    </row>
    <row r="41" spans="1:1">
      <c r="A41" t="s">
        <v>25</v>
      </c>
    </row>
    <row r="42" spans="1:1">
      <c r="A42" t="s">
        <v>26</v>
      </c>
    </row>
    <row r="43" spans="1:1">
      <c r="A43" t="s">
        <v>27</v>
      </c>
    </row>
    <row r="44" spans="1:1">
      <c r="A44" t="s">
        <v>520</v>
      </c>
    </row>
    <row r="45" spans="1:1">
      <c r="A45" t="s">
        <v>28</v>
      </c>
    </row>
    <row r="46" spans="1:1">
      <c r="A46" t="s">
        <v>521</v>
      </c>
    </row>
    <row r="47" spans="1:1">
      <c r="A47" t="s">
        <v>29</v>
      </c>
    </row>
    <row r="48" spans="1:1">
      <c r="A48" t="s">
        <v>30</v>
      </c>
    </row>
    <row r="49" spans="1:1">
      <c r="A49" t="s">
        <v>31</v>
      </c>
    </row>
    <row r="50" spans="1:1">
      <c r="A50" t="s">
        <v>603</v>
      </c>
    </row>
    <row r="51" spans="1:1">
      <c r="A51" t="s">
        <v>32</v>
      </c>
    </row>
    <row r="52" spans="1:1">
      <c r="A52" t="s">
        <v>33</v>
      </c>
    </row>
    <row r="53" spans="1:1">
      <c r="A53" t="s">
        <v>34</v>
      </c>
    </row>
    <row r="54" spans="1:1">
      <c r="A54" t="s">
        <v>35</v>
      </c>
    </row>
    <row r="55" spans="1:1">
      <c r="A55" t="s">
        <v>652</v>
      </c>
    </row>
    <row r="56" spans="1:1">
      <c r="A56" t="s">
        <v>717</v>
      </c>
    </row>
    <row r="57" spans="1:1">
      <c r="A57" t="s">
        <v>36</v>
      </c>
    </row>
    <row r="58" spans="1:1">
      <c r="A58" t="s">
        <v>37</v>
      </c>
    </row>
    <row r="59" spans="1:1">
      <c r="A59" t="s">
        <v>38</v>
      </c>
    </row>
    <row r="60" spans="1:1">
      <c r="A60" t="s">
        <v>39</v>
      </c>
    </row>
    <row r="61" spans="1:1">
      <c r="A61" t="s">
        <v>40</v>
      </c>
    </row>
    <row r="62" spans="1:1">
      <c r="A62" t="s">
        <v>41</v>
      </c>
    </row>
    <row r="63" spans="1:1">
      <c r="A63" t="s">
        <v>42</v>
      </c>
    </row>
    <row r="64" spans="1:1">
      <c r="A64" t="s">
        <v>522</v>
      </c>
    </row>
    <row r="65" spans="1:1">
      <c r="A65" t="s">
        <v>523</v>
      </c>
    </row>
    <row r="66" spans="1:1">
      <c r="A66" t="s">
        <v>524</v>
      </c>
    </row>
    <row r="67" spans="1:1">
      <c r="A67" t="s">
        <v>525</v>
      </c>
    </row>
    <row r="68" spans="1:1">
      <c r="A68" t="s">
        <v>265</v>
      </c>
    </row>
    <row r="69" spans="1:1">
      <c r="A69" t="s">
        <v>43</v>
      </c>
    </row>
    <row r="70" spans="1:1">
      <c r="A70" t="s">
        <v>44</v>
      </c>
    </row>
    <row r="71" spans="1:1">
      <c r="A71" t="s">
        <v>526</v>
      </c>
    </row>
    <row r="72" spans="1:1">
      <c r="A72" t="s">
        <v>527</v>
      </c>
    </row>
    <row r="73" spans="1:1">
      <c r="A73" t="s">
        <v>528</v>
      </c>
    </row>
    <row r="74" spans="1:1">
      <c r="A74" t="s">
        <v>55</v>
      </c>
    </row>
    <row r="75" spans="1:1">
      <c r="A75" t="s">
        <v>529</v>
      </c>
    </row>
    <row r="76" spans="1:1">
      <c r="A76" t="s">
        <v>530</v>
      </c>
    </row>
    <row r="77" spans="1:1">
      <c r="A77" t="s">
        <v>531</v>
      </c>
    </row>
    <row r="78" spans="1:1">
      <c r="A78" t="s">
        <v>56</v>
      </c>
    </row>
    <row r="79" spans="1:1">
      <c r="A79" t="s">
        <v>614</v>
      </c>
    </row>
    <row r="80" spans="1:1">
      <c r="A80" t="s">
        <v>615</v>
      </c>
    </row>
    <row r="81" spans="1:1">
      <c r="A81" t="s">
        <v>616</v>
      </c>
    </row>
    <row r="82" spans="1:1">
      <c r="A82" t="s">
        <v>617</v>
      </c>
    </row>
    <row r="83" spans="1:1">
      <c r="A83" t="s">
        <v>279</v>
      </c>
    </row>
    <row r="84" spans="1:1">
      <c r="A84" t="s">
        <v>161</v>
      </c>
    </row>
    <row r="85" spans="1:1">
      <c r="A85" t="s">
        <v>121</v>
      </c>
    </row>
    <row r="86" spans="1:1">
      <c r="A86" t="s">
        <v>697</v>
      </c>
    </row>
    <row r="87" spans="1:1">
      <c r="A87" t="s">
        <v>718</v>
      </c>
    </row>
    <row r="88" spans="1:1">
      <c r="A88" t="s">
        <v>735</v>
      </c>
    </row>
    <row r="89" spans="1:1">
      <c r="A89" t="s">
        <v>45</v>
      </c>
    </row>
    <row r="90" spans="1:1">
      <c r="A90" t="s">
        <v>46</v>
      </c>
    </row>
    <row r="91" spans="1:1">
      <c r="A91" t="s">
        <v>47</v>
      </c>
    </row>
    <row r="92" spans="1:1">
      <c r="A92" t="s">
        <v>532</v>
      </c>
    </row>
    <row r="93" spans="1:1">
      <c r="A93" t="s">
        <v>48</v>
      </c>
    </row>
    <row r="94" spans="1:1">
      <c r="A94" t="s">
        <v>49</v>
      </c>
    </row>
    <row r="95" spans="1:1">
      <c r="A95" t="s">
        <v>50</v>
      </c>
    </row>
    <row r="96" spans="1:1">
      <c r="A96" t="s">
        <v>51</v>
      </c>
    </row>
    <row r="97" spans="1:1">
      <c r="A97" t="s">
        <v>719</v>
      </c>
    </row>
    <row r="98" spans="1:1">
      <c r="A98" t="s">
        <v>46</v>
      </c>
    </row>
    <row r="99" spans="1:1">
      <c r="A99" t="s">
        <v>681</v>
      </c>
    </row>
    <row r="100" spans="1:1">
      <c r="A100" t="s">
        <v>736</v>
      </c>
    </row>
    <row r="101" spans="1:1">
      <c r="A101" t="s">
        <v>720</v>
      </c>
    </row>
    <row r="102" spans="1:1">
      <c r="A102" t="s">
        <v>737</v>
      </c>
    </row>
    <row r="103" spans="1:1">
      <c r="A103" t="s">
        <v>738</v>
      </c>
    </row>
    <row r="104" spans="1:1">
      <c r="A104" t="s">
        <v>739</v>
      </c>
    </row>
    <row r="105" spans="1:1">
      <c r="A105" t="s">
        <v>740</v>
      </c>
    </row>
    <row r="106" spans="1:1">
      <c r="A106" t="s">
        <v>120</v>
      </c>
    </row>
    <row r="107" spans="1:1">
      <c r="A107" t="s">
        <v>159</v>
      </c>
    </row>
    <row r="108" spans="1:1">
      <c r="A108" t="s">
        <v>484</v>
      </c>
    </row>
    <row r="109" spans="1:1">
      <c r="A109" t="s">
        <v>534</v>
      </c>
    </row>
    <row r="110" spans="1:1">
      <c r="A110" t="s">
        <v>57</v>
      </c>
    </row>
    <row r="111" spans="1:1">
      <c r="A111" t="s">
        <v>160</v>
      </c>
    </row>
    <row r="112" spans="1:1">
      <c r="A112" t="s">
        <v>47</v>
      </c>
    </row>
    <row r="113" spans="1:1">
      <c r="A113" t="s">
        <v>699</v>
      </c>
    </row>
    <row r="114" spans="1:1">
      <c r="A114" t="s">
        <v>741</v>
      </c>
    </row>
    <row r="115" spans="1:1">
      <c r="A115" t="s">
        <v>48</v>
      </c>
    </row>
    <row r="116" spans="1:1">
      <c r="A116" t="s">
        <v>49</v>
      </c>
    </row>
    <row r="117" spans="1:1">
      <c r="A117" t="s">
        <v>50</v>
      </c>
    </row>
    <row r="118" spans="1:1">
      <c r="A118" t="s">
        <v>51</v>
      </c>
    </row>
    <row r="119" spans="1:1">
      <c r="A119" t="s">
        <v>698</v>
      </c>
    </row>
    <row r="120" spans="1:1">
      <c r="A120" t="s">
        <v>52</v>
      </c>
    </row>
    <row r="121" spans="1:1">
      <c r="A121" t="s">
        <v>721</v>
      </c>
    </row>
    <row r="122" spans="1:1">
      <c r="A122" t="s">
        <v>722</v>
      </c>
    </row>
    <row r="123" spans="1:1">
      <c r="A123" t="s">
        <v>723</v>
      </c>
    </row>
    <row r="124" spans="1:1">
      <c r="A124" t="s">
        <v>724</v>
      </c>
    </row>
    <row r="125" spans="1:1">
      <c r="A125" t="s">
        <v>725</v>
      </c>
    </row>
    <row r="126" spans="1:1">
      <c r="A126" t="s">
        <v>53</v>
      </c>
    </row>
    <row r="127" spans="1:1">
      <c r="A127" t="s">
        <v>726</v>
      </c>
    </row>
    <row r="128" spans="1:1">
      <c r="A128" t="s">
        <v>610</v>
      </c>
    </row>
    <row r="129" spans="1:1">
      <c r="A129" t="s">
        <v>727</v>
      </c>
    </row>
    <row r="130" spans="1:1">
      <c r="A130" t="s">
        <v>748</v>
      </c>
    </row>
    <row r="131" spans="1:1">
      <c r="A131" t="s">
        <v>680</v>
      </c>
    </row>
    <row r="132" spans="1:1">
      <c r="A132" t="s">
        <v>52</v>
      </c>
    </row>
    <row r="133" spans="1:1">
      <c r="A133" t="s">
        <v>700</v>
      </c>
    </row>
    <row r="134" spans="1:1">
      <c r="A134" t="s">
        <v>701</v>
      </c>
    </row>
    <row r="135" spans="1:1">
      <c r="A135" t="s">
        <v>702</v>
      </c>
    </row>
    <row r="136" spans="1:1">
      <c r="A136" t="s">
        <v>703</v>
      </c>
    </row>
    <row r="137" spans="1:1">
      <c r="A137" t="s">
        <v>704</v>
      </c>
    </row>
    <row r="138" spans="1:1">
      <c r="A138" t="s">
        <v>705</v>
      </c>
    </row>
    <row r="139" spans="1:1">
      <c r="A139" t="s">
        <v>53</v>
      </c>
    </row>
    <row r="140" spans="1:1">
      <c r="A140" t="s">
        <v>706</v>
      </c>
    </row>
    <row r="141" spans="1:1">
      <c r="A141" t="s">
        <v>707</v>
      </c>
    </row>
    <row r="142" spans="1:1">
      <c r="A142" t="s">
        <v>59</v>
      </c>
    </row>
    <row r="143" spans="1:1">
      <c r="A143" t="s">
        <v>653</v>
      </c>
    </row>
    <row r="144" spans="1:1">
      <c r="A144" t="s">
        <v>52</v>
      </c>
    </row>
    <row r="145" spans="1:1">
      <c r="A145" t="s">
        <v>682</v>
      </c>
    </row>
    <row r="146" spans="1:1">
      <c r="A146" t="s">
        <v>683</v>
      </c>
    </row>
    <row r="147" spans="1:1">
      <c r="A147" t="s">
        <v>684</v>
      </c>
    </row>
    <row r="148" spans="1:1">
      <c r="A148" t="s">
        <v>685</v>
      </c>
    </row>
    <row r="149" spans="1:1">
      <c r="A149" t="s">
        <v>686</v>
      </c>
    </row>
    <row r="150" spans="1:1">
      <c r="A150" t="s">
        <v>687</v>
      </c>
    </row>
    <row r="151" spans="1:1">
      <c r="A151" t="s">
        <v>538</v>
      </c>
    </row>
    <row r="152" spans="1:1">
      <c r="A152" t="s">
        <v>53</v>
      </c>
    </row>
    <row r="153" spans="1:1">
      <c r="A153" t="s">
        <v>359</v>
      </c>
    </row>
    <row r="154" spans="1:1">
      <c r="A154" t="s">
        <v>533</v>
      </c>
    </row>
    <row r="155" spans="1:1">
      <c r="A155" t="s">
        <v>52</v>
      </c>
    </row>
    <row r="156" spans="1:1">
      <c r="A156" t="s">
        <v>654</v>
      </c>
    </row>
    <row r="157" spans="1:1">
      <c r="A157" t="s">
        <v>655</v>
      </c>
    </row>
    <row r="158" spans="1:1">
      <c r="A158" t="s">
        <v>656</v>
      </c>
    </row>
    <row r="159" spans="1:1">
      <c r="A159" t="s">
        <v>53</v>
      </c>
    </row>
    <row r="160" spans="1:1">
      <c r="A160" t="s">
        <v>657</v>
      </c>
    </row>
    <row r="161" spans="1:1">
      <c r="A161" t="s">
        <v>658</v>
      </c>
    </row>
    <row r="162" spans="1:1">
      <c r="A162" t="s">
        <v>659</v>
      </c>
    </row>
    <row r="163" spans="1:1">
      <c r="A163" t="s">
        <v>660</v>
      </c>
    </row>
    <row r="164" spans="1:1">
      <c r="A164" t="s">
        <v>661</v>
      </c>
    </row>
    <row r="165" spans="1:1">
      <c r="A165" t="s">
        <v>54</v>
      </c>
    </row>
    <row r="166" spans="1:1">
      <c r="A166" t="s">
        <v>662</v>
      </c>
    </row>
    <row r="167" spans="1:1">
      <c r="A167" t="s">
        <v>663</v>
      </c>
    </row>
    <row r="168" spans="1:1">
      <c r="A168" t="s">
        <v>664</v>
      </c>
    </row>
    <row r="169" spans="1:1">
      <c r="A169" t="s">
        <v>665</v>
      </c>
    </row>
    <row r="170" spans="1:1">
      <c r="A170" t="s">
        <v>618</v>
      </c>
    </row>
    <row r="171" spans="1:1">
      <c r="A171" t="s">
        <v>52</v>
      </c>
    </row>
    <row r="172" spans="1:1">
      <c r="A172" t="s">
        <v>619</v>
      </c>
    </row>
    <row r="173" spans="1:1">
      <c r="A173" t="s">
        <v>620</v>
      </c>
    </row>
    <row r="174" spans="1:1">
      <c r="A174" t="s">
        <v>53</v>
      </c>
    </row>
    <row r="175" spans="1:1">
      <c r="A175" t="s">
        <v>621</v>
      </c>
    </row>
    <row r="176" spans="1:1">
      <c r="A176" t="s">
        <v>622</v>
      </c>
    </row>
    <row r="177" spans="1:1">
      <c r="A177" t="s">
        <v>623</v>
      </c>
    </row>
    <row r="178" spans="1:1">
      <c r="A178" t="s">
        <v>624</v>
      </c>
    </row>
    <row r="179" spans="1:1">
      <c r="A179" t="s">
        <v>625</v>
      </c>
    </row>
    <row r="180" spans="1:1">
      <c r="A180" t="s">
        <v>626</v>
      </c>
    </row>
    <row r="181" spans="1:1">
      <c r="A181" t="s">
        <v>52</v>
      </c>
    </row>
    <row r="182" spans="1:1">
      <c r="A182" t="s">
        <v>627</v>
      </c>
    </row>
    <row r="183" spans="1:1">
      <c r="A183" t="s">
        <v>628</v>
      </c>
    </row>
    <row r="184" spans="1:1">
      <c r="A184" t="s">
        <v>629</v>
      </c>
    </row>
    <row r="185" spans="1:1">
      <c r="A185" t="s">
        <v>630</v>
      </c>
    </row>
    <row r="186" spans="1:1">
      <c r="A186" t="s">
        <v>631</v>
      </c>
    </row>
    <row r="187" spans="1:1">
      <c r="A187" t="s">
        <v>498</v>
      </c>
    </row>
    <row r="188" spans="1:1">
      <c r="A188" t="s">
        <v>52</v>
      </c>
    </row>
    <row r="189" spans="1:1">
      <c r="A189" t="s">
        <v>606</v>
      </c>
    </row>
    <row r="190" spans="1:1">
      <c r="A190" t="s">
        <v>607</v>
      </c>
    </row>
    <row r="191" spans="1:1">
      <c r="A191" t="s">
        <v>608</v>
      </c>
    </row>
    <row r="192" spans="1:1">
      <c r="A192" t="s">
        <v>609</v>
      </c>
    </row>
    <row r="193" spans="1:1">
      <c r="A193" t="s">
        <v>610</v>
      </c>
    </row>
    <row r="194" spans="1:1">
      <c r="A194" t="s">
        <v>611</v>
      </c>
    </row>
    <row r="195" spans="1:1">
      <c r="A195" t="s">
        <v>53</v>
      </c>
    </row>
    <row r="196" spans="1:1">
      <c r="A196" t="s">
        <v>54</v>
      </c>
    </row>
    <row r="197" spans="1:1">
      <c r="A197" t="s">
        <v>483</v>
      </c>
    </row>
    <row r="198" spans="1:1">
      <c r="A198" t="s">
        <v>52</v>
      </c>
    </row>
    <row r="199" spans="1:1">
      <c r="A199" t="s">
        <v>499</v>
      </c>
    </row>
    <row r="200" spans="1:1">
      <c r="A200" t="s">
        <v>500</v>
      </c>
    </row>
    <row r="201" spans="1:1">
      <c r="A201" t="s">
        <v>501</v>
      </c>
    </row>
    <row r="202" spans="1:1">
      <c r="A202" t="s">
        <v>535</v>
      </c>
    </row>
    <row r="203" spans="1:1">
      <c r="A203" t="s">
        <v>54</v>
      </c>
    </row>
    <row r="204" spans="1:1">
      <c r="A204" t="s">
        <v>536</v>
      </c>
    </row>
    <row r="205" spans="1:1">
      <c r="A205" t="s">
        <v>537</v>
      </c>
    </row>
    <row r="206" spans="1:1">
      <c r="A206" t="s">
        <v>502</v>
      </c>
    </row>
    <row r="207" spans="1:1">
      <c r="A207" t="s">
        <v>503</v>
      </c>
    </row>
    <row r="208" spans="1:1">
      <c r="A208" t="s">
        <v>58</v>
      </c>
    </row>
    <row r="209" spans="1:1">
      <c r="A209" t="s">
        <v>480</v>
      </c>
    </row>
    <row r="210" spans="1:1">
      <c r="A210" t="s">
        <v>52</v>
      </c>
    </row>
    <row r="211" spans="1:1">
      <c r="A211" t="s">
        <v>485</v>
      </c>
    </row>
    <row r="212" spans="1:1">
      <c r="A212" t="s">
        <v>486</v>
      </c>
    </row>
    <row r="213" spans="1:1">
      <c r="A213" t="s">
        <v>53</v>
      </c>
    </row>
    <row r="214" spans="1:1">
      <c r="A214" t="s">
        <v>487</v>
      </c>
    </row>
    <row r="215" spans="1:1">
      <c r="A215" t="s">
        <v>488</v>
      </c>
    </row>
    <row r="216" spans="1:1">
      <c r="A216" t="s">
        <v>489</v>
      </c>
    </row>
    <row r="217" spans="1:1">
      <c r="A217" t="s">
        <v>324</v>
      </c>
    </row>
    <row r="218" spans="1:1">
      <c r="A218" t="s">
        <v>538</v>
      </c>
    </row>
    <row r="219" spans="1:1">
      <c r="A219" t="s">
        <v>539</v>
      </c>
    </row>
    <row r="220" spans="1:1">
      <c r="A220" t="s">
        <v>278</v>
      </c>
    </row>
    <row r="221" spans="1:1">
      <c r="A221" t="s">
        <v>52</v>
      </c>
    </row>
    <row r="222" spans="1:1">
      <c r="A222" t="s">
        <v>469</v>
      </c>
    </row>
    <row r="223" spans="1:1">
      <c r="A223" t="s">
        <v>470</v>
      </c>
    </row>
    <row r="224" spans="1:1">
      <c r="A224" t="s">
        <v>471</v>
      </c>
    </row>
    <row r="225" spans="1:1">
      <c r="A225" t="s">
        <v>472</v>
      </c>
    </row>
    <row r="226" spans="1:1">
      <c r="A226" t="s">
        <v>473</v>
      </c>
    </row>
    <row r="227" spans="1:1">
      <c r="A227" t="s">
        <v>474</v>
      </c>
    </row>
    <row r="228" spans="1:1">
      <c r="A228" t="s">
        <v>475</v>
      </c>
    </row>
    <row r="229" spans="1:1">
      <c r="A229" t="s">
        <v>538</v>
      </c>
    </row>
    <row r="230" spans="1:1">
      <c r="A230" t="s">
        <v>54</v>
      </c>
    </row>
    <row r="231" spans="1:1">
      <c r="A231" t="s">
        <v>540</v>
      </c>
    </row>
    <row r="232" spans="1:1">
      <c r="A232" t="s">
        <v>541</v>
      </c>
    </row>
    <row r="233" spans="1:1">
      <c r="A233" t="s">
        <v>476</v>
      </c>
    </row>
    <row r="234" spans="1:1">
      <c r="A234" t="s">
        <v>58</v>
      </c>
    </row>
    <row r="235" spans="1:1">
      <c r="A235" t="s">
        <v>59</v>
      </c>
    </row>
    <row r="236" spans="1:1">
      <c r="A236" t="s">
        <v>155</v>
      </c>
    </row>
    <row r="237" spans="1:1">
      <c r="A237" t="s">
        <v>229</v>
      </c>
    </row>
    <row r="238" spans="1:1">
      <c r="A238" t="s">
        <v>280</v>
      </c>
    </row>
    <row r="239" spans="1:1">
      <c r="A239" t="s">
        <v>52</v>
      </c>
    </row>
    <row r="240" spans="1:1">
      <c r="A240" t="s">
        <v>53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542</v>
      </c>
    </row>
    <row r="248" spans="1:1">
      <c r="A248" t="s">
        <v>287</v>
      </c>
    </row>
    <row r="249" spans="1:1">
      <c r="A249" t="s">
        <v>288</v>
      </c>
    </row>
    <row r="250" spans="1:1">
      <c r="A250" t="s">
        <v>289</v>
      </c>
    </row>
    <row r="251" spans="1:1">
      <c r="A251" t="s">
        <v>59</v>
      </c>
    </row>
    <row r="252" spans="1:1">
      <c r="A252" t="s">
        <v>155</v>
      </c>
    </row>
    <row r="253" spans="1:1">
      <c r="A253" t="s">
        <v>58</v>
      </c>
    </row>
    <row r="254" spans="1:1">
      <c r="A254" t="s">
        <v>54</v>
      </c>
    </row>
    <row r="255" spans="1:1">
      <c r="A255" t="s">
        <v>244</v>
      </c>
    </row>
    <row r="256" spans="1:1">
      <c r="A256" t="s">
        <v>52</v>
      </c>
    </row>
    <row r="257" spans="1:1">
      <c r="A257" t="s">
        <v>543</v>
      </c>
    </row>
    <row r="258" spans="1:1">
      <c r="A258" t="s">
        <v>266</v>
      </c>
    </row>
    <row r="259" spans="1:1">
      <c r="A259" t="s">
        <v>267</v>
      </c>
    </row>
    <row r="260" spans="1:1">
      <c r="A260" t="s">
        <v>268</v>
      </c>
    </row>
    <row r="261" spans="1:1">
      <c r="A261" t="s">
        <v>53</v>
      </c>
    </row>
    <row r="262" spans="1:1">
      <c r="A262" t="s">
        <v>269</v>
      </c>
    </row>
    <row r="263" spans="1:1">
      <c r="A263" t="s">
        <v>270</v>
      </c>
    </row>
    <row r="264" spans="1:1">
      <c r="A264" t="s">
        <v>54</v>
      </c>
    </row>
    <row r="265" spans="1:1">
      <c r="A265" t="s">
        <v>544</v>
      </c>
    </row>
    <row r="266" spans="1:1">
      <c r="A266" t="s">
        <v>230</v>
      </c>
    </row>
    <row r="267" spans="1:1">
      <c r="A267" t="s">
        <v>52</v>
      </c>
    </row>
    <row r="268" spans="1:1">
      <c r="A268" t="s">
        <v>53</v>
      </c>
    </row>
    <row r="269" spans="1:1">
      <c r="A269" t="s">
        <v>245</v>
      </c>
    </row>
    <row r="270" spans="1:1">
      <c r="A270" t="s">
        <v>246</v>
      </c>
    </row>
    <row r="271" spans="1:1">
      <c r="A271" t="s">
        <v>247</v>
      </c>
    </row>
    <row r="272" spans="1:1">
      <c r="A272" t="s">
        <v>545</v>
      </c>
    </row>
    <row r="273" spans="1:1">
      <c r="A273" t="s">
        <v>546</v>
      </c>
    </row>
    <row r="274" spans="1:1">
      <c r="A274" t="s">
        <v>248</v>
      </c>
    </row>
    <row r="275" spans="1:1">
      <c r="A275" t="s">
        <v>54</v>
      </c>
    </row>
    <row r="276" spans="1:1">
      <c r="A276" t="s">
        <v>249</v>
      </c>
    </row>
    <row r="277" spans="1:1">
      <c r="A277" t="s">
        <v>250</v>
      </c>
    </row>
    <row r="278" spans="1:1">
      <c r="A278" t="s">
        <v>251</v>
      </c>
    </row>
    <row r="279" spans="1:1">
      <c r="A279" t="s">
        <v>252</v>
      </c>
    </row>
    <row r="280" spans="1:1">
      <c r="A280" t="s">
        <v>547</v>
      </c>
    </row>
    <row r="281" spans="1:1">
      <c r="A281" t="s">
        <v>253</v>
      </c>
    </row>
    <row r="282" spans="1:1">
      <c r="A282" t="s">
        <v>59</v>
      </c>
    </row>
    <row r="283" spans="1:1">
      <c r="A283" t="s">
        <v>119</v>
      </c>
    </row>
    <row r="284" spans="1:1">
      <c r="A284" t="s">
        <v>52</v>
      </c>
    </row>
    <row r="285" spans="1:1">
      <c r="A285" t="s">
        <v>231</v>
      </c>
    </row>
    <row r="286" spans="1:1">
      <c r="A286" t="s">
        <v>232</v>
      </c>
    </row>
    <row r="287" spans="1:1">
      <c r="A287" t="s">
        <v>233</v>
      </c>
    </row>
    <row r="288" spans="1:1">
      <c r="A288" t="s">
        <v>234</v>
      </c>
    </row>
    <row r="289" spans="1:1">
      <c r="A289" t="s">
        <v>235</v>
      </c>
    </row>
    <row r="290" spans="1:1">
      <c r="A290" t="s">
        <v>54</v>
      </c>
    </row>
    <row r="291" spans="1:1">
      <c r="A291" t="s">
        <v>548</v>
      </c>
    </row>
    <row r="292" spans="1:1">
      <c r="A292" t="s">
        <v>236</v>
      </c>
    </row>
    <row r="293" spans="1:1">
      <c r="A293" t="s">
        <v>237</v>
      </c>
    </row>
    <row r="294" spans="1:1">
      <c r="A294" t="s">
        <v>238</v>
      </c>
    </row>
    <row r="295" spans="1:1">
      <c r="A295" t="s">
        <v>549</v>
      </c>
    </row>
    <row r="296" spans="1:1">
      <c r="A296" t="s">
        <v>155</v>
      </c>
    </row>
    <row r="297" spans="1:1">
      <c r="A297" t="s">
        <v>59</v>
      </c>
    </row>
    <row r="298" spans="1:1">
      <c r="A298" t="s">
        <v>58</v>
      </c>
    </row>
    <row r="299" spans="1:1">
      <c r="A299" t="s">
        <v>122</v>
      </c>
    </row>
    <row r="300" spans="1:1">
      <c r="A300" t="s">
        <v>52</v>
      </c>
    </row>
    <row r="301" spans="1:1">
      <c r="A301" t="s">
        <v>53</v>
      </c>
    </row>
    <row r="302" spans="1:1">
      <c r="A302" t="s">
        <v>123</v>
      </c>
    </row>
    <row r="303" spans="1:1">
      <c r="A303" t="s">
        <v>124</v>
      </c>
    </row>
    <row r="304" spans="1:1">
      <c r="A304" t="s">
        <v>125</v>
      </c>
    </row>
    <row r="305" spans="1:1">
      <c r="A305" t="s">
        <v>126</v>
      </c>
    </row>
    <row r="306" spans="1:1">
      <c r="A306" t="s">
        <v>127</v>
      </c>
    </row>
    <row r="307" spans="1:1">
      <c r="A307" t="s">
        <v>128</v>
      </c>
    </row>
    <row r="308" spans="1:1">
      <c r="A308" t="s">
        <v>129</v>
      </c>
    </row>
    <row r="309" spans="1:1">
      <c r="A309" t="s">
        <v>538</v>
      </c>
    </row>
    <row r="310" spans="1:1">
      <c r="A310" t="s">
        <v>128</v>
      </c>
    </row>
    <row r="311" spans="1:1">
      <c r="A311" t="s">
        <v>116</v>
      </c>
    </row>
    <row r="312" spans="1:1">
      <c r="A312" t="s">
        <v>52</v>
      </c>
    </row>
    <row r="313" spans="1:1">
      <c r="A313" t="s">
        <v>131</v>
      </c>
    </row>
    <row r="314" spans="1:1">
      <c r="A314" t="s">
        <v>132</v>
      </c>
    </row>
    <row r="315" spans="1:1">
      <c r="A315" t="s">
        <v>133</v>
      </c>
    </row>
    <row r="316" spans="1:1">
      <c r="A316" t="s">
        <v>550</v>
      </c>
    </row>
    <row r="317" spans="1:1">
      <c r="A317" t="s">
        <v>134</v>
      </c>
    </row>
    <row r="318" spans="1:1">
      <c r="A318" t="s">
        <v>551</v>
      </c>
    </row>
    <row r="319" spans="1:1">
      <c r="A319" t="s">
        <v>552</v>
      </c>
    </row>
    <row r="320" spans="1:1">
      <c r="A320" t="s">
        <v>54</v>
      </c>
    </row>
    <row r="321" spans="1:1">
      <c r="A321" t="s">
        <v>538</v>
      </c>
    </row>
    <row r="322" spans="1:1">
      <c r="A322" t="s">
        <v>117</v>
      </c>
    </row>
    <row r="323" spans="1:1">
      <c r="A323" t="s">
        <v>52</v>
      </c>
    </row>
    <row r="324" spans="1:1">
      <c r="A324" t="s">
        <v>135</v>
      </c>
    </row>
    <row r="325" spans="1:1">
      <c r="A325" t="s">
        <v>553</v>
      </c>
    </row>
    <row r="326" spans="1:1">
      <c r="A326" t="s">
        <v>54</v>
      </c>
    </row>
    <row r="327" spans="1:1">
      <c r="A327" t="s">
        <v>554</v>
      </c>
    </row>
    <row r="328" spans="1:1">
      <c r="A328" t="s">
        <v>68</v>
      </c>
    </row>
    <row r="329" spans="1:1">
      <c r="A329" t="s">
        <v>52</v>
      </c>
    </row>
    <row r="330" spans="1:1">
      <c r="A330" t="s">
        <v>106</v>
      </c>
    </row>
    <row r="331" spans="1:1">
      <c r="A331" t="s">
        <v>115</v>
      </c>
    </row>
    <row r="332" spans="1:1">
      <c r="A332" t="s">
        <v>54</v>
      </c>
    </row>
    <row r="333" spans="1:1">
      <c r="A333" t="s">
        <v>53</v>
      </c>
    </row>
    <row r="334" spans="1:1">
      <c r="A334" t="s">
        <v>60</v>
      </c>
    </row>
    <row r="335" spans="1:1">
      <c r="A335" t="s">
        <v>136</v>
      </c>
    </row>
    <row r="336" spans="1:1">
      <c r="A336" t="s">
        <v>137</v>
      </c>
    </row>
    <row r="337" spans="1:1">
      <c r="A337" t="s">
        <v>52</v>
      </c>
    </row>
    <row r="338" spans="1:1">
      <c r="A338" t="s">
        <v>138</v>
      </c>
    </row>
    <row r="339" spans="1:1">
      <c r="A339" t="s">
        <v>139</v>
      </c>
    </row>
    <row r="340" spans="1:1">
      <c r="A340" t="s">
        <v>140</v>
      </c>
    </row>
    <row r="341" spans="1:1">
      <c r="A341" t="s">
        <v>53</v>
      </c>
    </row>
    <row r="342" spans="1:1">
      <c r="A342" t="s">
        <v>54</v>
      </c>
    </row>
    <row r="343" spans="1:1">
      <c r="A343" t="s">
        <v>141</v>
      </c>
    </row>
    <row r="344" spans="1:1">
      <c r="A344" t="s">
        <v>142</v>
      </c>
    </row>
    <row r="345" spans="1:1">
      <c r="A345" t="s">
        <v>52</v>
      </c>
    </row>
    <row r="346" spans="1:1">
      <c r="A346" t="s">
        <v>53</v>
      </c>
    </row>
    <row r="347" spans="1:1">
      <c r="A347" t="s">
        <v>62</v>
      </c>
    </row>
    <row r="348" spans="1:1">
      <c r="A348" t="s">
        <v>143</v>
      </c>
    </row>
    <row r="349" spans="1:1">
      <c r="A349" t="s">
        <v>54</v>
      </c>
    </row>
    <row r="350" spans="1:1">
      <c r="A350" t="s">
        <v>144</v>
      </c>
    </row>
    <row r="351" spans="1:1">
      <c r="A351" t="s">
        <v>61</v>
      </c>
    </row>
    <row r="352" spans="1:1">
      <c r="A352" t="s">
        <v>145</v>
      </c>
    </row>
    <row r="353" spans="1:1">
      <c r="A353" t="s">
        <v>146</v>
      </c>
    </row>
    <row r="354" spans="1:1">
      <c r="A354" t="s">
        <v>147</v>
      </c>
    </row>
    <row r="355" spans="1:1">
      <c r="A355" t="s">
        <v>52</v>
      </c>
    </row>
    <row r="356" spans="1:1">
      <c r="A356" t="s">
        <v>148</v>
      </c>
    </row>
    <row r="357" spans="1:1">
      <c r="A357" t="s">
        <v>149</v>
      </c>
    </row>
    <row r="358" spans="1:1">
      <c r="A358" t="s">
        <v>150</v>
      </c>
    </row>
    <row r="359" spans="1:1">
      <c r="A359" t="s">
        <v>151</v>
      </c>
    </row>
    <row r="360" spans="1:1">
      <c r="A360" t="s">
        <v>152</v>
      </c>
    </row>
    <row r="361" spans="1:1">
      <c r="A361" t="s">
        <v>153</v>
      </c>
    </row>
    <row r="362" spans="1:1">
      <c r="A362" t="s">
        <v>154</v>
      </c>
    </row>
    <row r="363" spans="1:1">
      <c r="A363" t="s">
        <v>54</v>
      </c>
    </row>
    <row r="364" spans="1:1">
      <c r="A364" t="s">
        <v>59</v>
      </c>
    </row>
    <row r="365" spans="1:1">
      <c r="A365" t="s">
        <v>155</v>
      </c>
    </row>
    <row r="366" spans="1:1">
      <c r="A366" t="s">
        <v>290</v>
      </c>
    </row>
    <row r="367" spans="1:1">
      <c r="A367" t="s">
        <v>52</v>
      </c>
    </row>
    <row r="368" spans="1:1">
      <c r="A368" t="s">
        <v>53</v>
      </c>
    </row>
    <row r="369" spans="1:1">
      <c r="A369" t="s">
        <v>291</v>
      </c>
    </row>
    <row r="370" spans="1:1">
      <c r="A370" t="s">
        <v>54</v>
      </c>
    </row>
    <row r="371" spans="1:1">
      <c r="A371" t="s">
        <v>292</v>
      </c>
    </row>
    <row r="372" spans="1:1">
      <c r="A372" t="s">
        <v>293</v>
      </c>
    </row>
    <row r="373" spans="1:1">
      <c r="A373" t="s">
        <v>294</v>
      </c>
    </row>
    <row r="374" spans="1:1">
      <c r="A374" t="s">
        <v>295</v>
      </c>
    </row>
    <row r="375" spans="1:1">
      <c r="A375" t="s">
        <v>296</v>
      </c>
    </row>
    <row r="376" spans="1:1">
      <c r="A376" t="s">
        <v>297</v>
      </c>
    </row>
    <row r="377" spans="1:1">
      <c r="A377" t="s">
        <v>298</v>
      </c>
    </row>
    <row r="378" spans="1:1">
      <c r="A378" t="s">
        <v>299</v>
      </c>
    </row>
    <row r="379" spans="1:1">
      <c r="A379" t="s">
        <v>52</v>
      </c>
    </row>
    <row r="380" spans="1:1">
      <c r="A380" t="s">
        <v>300</v>
      </c>
    </row>
    <row r="381" spans="1:1">
      <c r="A381" t="s">
        <v>301</v>
      </c>
    </row>
    <row r="382" spans="1:1">
      <c r="A382" t="s">
        <v>302</v>
      </c>
    </row>
    <row r="383" spans="1:1">
      <c r="A383" t="s">
        <v>303</v>
      </c>
    </row>
    <row r="384" spans="1:1">
      <c r="A384" t="s">
        <v>304</v>
      </c>
    </row>
    <row r="385" spans="1:1">
      <c r="A385" t="s">
        <v>130</v>
      </c>
    </row>
    <row r="386" spans="1:1">
      <c r="A386" t="s">
        <v>305</v>
      </c>
    </row>
    <row r="387" spans="1:1">
      <c r="A387" t="s">
        <v>306</v>
      </c>
    </row>
    <row r="388" spans="1:1">
      <c r="A388" t="s">
        <v>52</v>
      </c>
    </row>
    <row r="389" spans="1:1">
      <c r="A389" t="s">
        <v>307</v>
      </c>
    </row>
    <row r="390" spans="1:1">
      <c r="A390" t="s">
        <v>308</v>
      </c>
    </row>
    <row r="391" spans="1:1">
      <c r="A391" t="s">
        <v>309</v>
      </c>
    </row>
    <row r="392" spans="1:1">
      <c r="A392" t="s">
        <v>130</v>
      </c>
    </row>
    <row r="393" spans="1:1">
      <c r="A393" t="s">
        <v>310</v>
      </c>
    </row>
    <row r="394" spans="1:1">
      <c r="A394" t="s">
        <v>311</v>
      </c>
    </row>
    <row r="395" spans="1:1">
      <c r="A395" t="s">
        <v>54</v>
      </c>
    </row>
    <row r="396" spans="1:1">
      <c r="A396" t="s">
        <v>312</v>
      </c>
    </row>
    <row r="397" spans="1:1">
      <c r="A397" t="s">
        <v>53</v>
      </c>
    </row>
    <row r="398" spans="1:1">
      <c r="A398" t="s">
        <v>313</v>
      </c>
    </row>
    <row r="399" spans="1:1">
      <c r="A399" t="s">
        <v>314</v>
      </c>
    </row>
    <row r="400" spans="1:1">
      <c r="A400" t="s">
        <v>153</v>
      </c>
    </row>
    <row r="401" spans="1:1">
      <c r="A401" t="s">
        <v>58</v>
      </c>
    </row>
    <row r="402" spans="1:1">
      <c r="A402" t="s">
        <v>59</v>
      </c>
    </row>
    <row r="403" spans="1:1">
      <c r="A403" t="s">
        <v>315</v>
      </c>
    </row>
    <row r="404" spans="1:1">
      <c r="A404" t="s">
        <v>52</v>
      </c>
    </row>
    <row r="405" spans="1:1">
      <c r="A405" t="s">
        <v>53</v>
      </c>
    </row>
    <row r="406" spans="1:1">
      <c r="A406" t="s">
        <v>316</v>
      </c>
    </row>
    <row r="407" spans="1:1">
      <c r="A407" t="s">
        <v>317</v>
      </c>
    </row>
    <row r="408" spans="1:1">
      <c r="A408" t="s">
        <v>318</v>
      </c>
    </row>
    <row r="409" spans="1:1">
      <c r="A409" t="s">
        <v>60</v>
      </c>
    </row>
    <row r="410" spans="1:1">
      <c r="A410" t="s">
        <v>319</v>
      </c>
    </row>
    <row r="411" spans="1:1">
      <c r="A411" t="s">
        <v>54</v>
      </c>
    </row>
    <row r="412" spans="1:1">
      <c r="A412" t="s">
        <v>320</v>
      </c>
    </row>
    <row r="413" spans="1:1">
      <c r="A413" t="s">
        <v>52</v>
      </c>
    </row>
    <row r="414" spans="1:1">
      <c r="A414" t="s">
        <v>321</v>
      </c>
    </row>
    <row r="415" spans="1:1">
      <c r="A415" t="s">
        <v>53</v>
      </c>
    </row>
    <row r="416" spans="1:1">
      <c r="A416" t="s">
        <v>322</v>
      </c>
    </row>
    <row r="417" spans="1:1">
      <c r="A417" t="s">
        <v>323</v>
      </c>
    </row>
    <row r="418" spans="1:1">
      <c r="A418" t="s">
        <v>324</v>
      </c>
    </row>
    <row r="419" spans="1:1">
      <c r="A419" t="s">
        <v>325</v>
      </c>
    </row>
    <row r="420" spans="1:1">
      <c r="A420" t="s">
        <v>54</v>
      </c>
    </row>
    <row r="421" spans="1:1">
      <c r="A421" t="s">
        <v>326</v>
      </c>
    </row>
    <row r="422" spans="1:1">
      <c r="A422" t="s">
        <v>327</v>
      </c>
    </row>
    <row r="423" spans="1:1">
      <c r="A423" t="s">
        <v>328</v>
      </c>
    </row>
    <row r="424" spans="1:1">
      <c r="A424" t="s">
        <v>52</v>
      </c>
    </row>
    <row r="425" spans="1:1">
      <c r="A425" t="s">
        <v>329</v>
      </c>
    </row>
    <row r="426" spans="1:1">
      <c r="A426" t="s">
        <v>323</v>
      </c>
    </row>
    <row r="427" spans="1:1">
      <c r="A427" t="s">
        <v>330</v>
      </c>
    </row>
    <row r="428" spans="1:1">
      <c r="A428" t="s">
        <v>331</v>
      </c>
    </row>
    <row r="429" spans="1:1">
      <c r="A429" t="s">
        <v>54</v>
      </c>
    </row>
    <row r="430" spans="1:1">
      <c r="A430" t="s">
        <v>332</v>
      </c>
    </row>
    <row r="431" spans="1:1">
      <c r="A431" t="s">
        <v>333</v>
      </c>
    </row>
    <row r="432" spans="1:1">
      <c r="A432" t="s">
        <v>155</v>
      </c>
    </row>
    <row r="433" spans="1:1">
      <c r="A433" t="s">
        <v>58</v>
      </c>
    </row>
    <row r="434" spans="1:1">
      <c r="A434" t="s">
        <v>334</v>
      </c>
    </row>
    <row r="435" spans="1:1">
      <c r="A435" t="s">
        <v>335</v>
      </c>
    </row>
    <row r="436" spans="1:1">
      <c r="A436" t="s">
        <v>59</v>
      </c>
    </row>
    <row r="437" spans="1:1">
      <c r="A437" t="s">
        <v>336</v>
      </c>
    </row>
    <row r="438" spans="1:1">
      <c r="A438" t="s">
        <v>52</v>
      </c>
    </row>
    <row r="439" spans="1:1">
      <c r="A439" t="s">
        <v>53</v>
      </c>
    </row>
    <row r="440" spans="1:1">
      <c r="A440" t="s">
        <v>231</v>
      </c>
    </row>
    <row r="441" spans="1:1">
      <c r="A441" t="s">
        <v>337</v>
      </c>
    </row>
    <row r="442" spans="1:1">
      <c r="A442" t="s">
        <v>338</v>
      </c>
    </row>
    <row r="443" spans="1:1">
      <c r="A443" t="s">
        <v>339</v>
      </c>
    </row>
    <row r="444" spans="1:1">
      <c r="A444" t="s">
        <v>340</v>
      </c>
    </row>
    <row r="445" spans="1:1">
      <c r="A445" t="s">
        <v>341</v>
      </c>
    </row>
    <row r="446" spans="1:1">
      <c r="A446" t="s">
        <v>342</v>
      </c>
    </row>
    <row r="447" spans="1:1">
      <c r="A447" t="s">
        <v>343</v>
      </c>
    </row>
    <row r="448" spans="1:1">
      <c r="A448" t="s">
        <v>344</v>
      </c>
    </row>
    <row r="449" spans="1:1">
      <c r="A449" t="s">
        <v>54</v>
      </c>
    </row>
    <row r="450" spans="1:1">
      <c r="A450" t="s">
        <v>345</v>
      </c>
    </row>
    <row r="451" spans="1:1">
      <c r="A451" t="s">
        <v>346</v>
      </c>
    </row>
    <row r="452" spans="1:1">
      <c r="A452" t="s">
        <v>58</v>
      </c>
    </row>
    <row r="453" spans="1:1">
      <c r="A453" t="s">
        <v>347</v>
      </c>
    </row>
    <row r="454" spans="1:1">
      <c r="A454" t="s">
        <v>348</v>
      </c>
    </row>
    <row r="455" spans="1:1">
      <c r="A455" t="s">
        <v>349</v>
      </c>
    </row>
    <row r="456" spans="1:1">
      <c r="A456" t="s">
        <v>52</v>
      </c>
    </row>
    <row r="457" spans="1:1">
      <c r="A457" t="s">
        <v>53</v>
      </c>
    </row>
    <row r="458" spans="1:1">
      <c r="A458" t="s">
        <v>54</v>
      </c>
    </row>
    <row r="459" spans="1:1">
      <c r="A459" t="s">
        <v>350</v>
      </c>
    </row>
    <row r="460" spans="1:1">
      <c r="A460" t="s">
        <v>351</v>
      </c>
    </row>
    <row r="461" spans="1:1">
      <c r="A461" t="s">
        <v>296</v>
      </c>
    </row>
    <row r="462" spans="1:1">
      <c r="A462" t="s">
        <v>155</v>
      </c>
    </row>
    <row r="463" spans="1:1">
      <c r="A463" t="s">
        <v>352</v>
      </c>
    </row>
    <row r="464" spans="1:1">
      <c r="A464" t="s">
        <v>52</v>
      </c>
    </row>
    <row r="465" spans="1:1">
      <c r="A465" t="s">
        <v>353</v>
      </c>
    </row>
    <row r="466" spans="1:1">
      <c r="A466" t="s">
        <v>354</v>
      </c>
    </row>
    <row r="467" spans="1:1">
      <c r="A467" t="s">
        <v>350</v>
      </c>
    </row>
    <row r="468" spans="1:1">
      <c r="A468" t="s">
        <v>355</v>
      </c>
    </row>
    <row r="469" spans="1:1">
      <c r="A469" t="s">
        <v>356</v>
      </c>
    </row>
    <row r="470" spans="1:1">
      <c r="A470" t="s">
        <v>357</v>
      </c>
    </row>
    <row r="471" spans="1:1">
      <c r="A471" t="s">
        <v>52</v>
      </c>
    </row>
    <row r="472" spans="1:1">
      <c r="A472" t="s">
        <v>350</v>
      </c>
    </row>
    <row r="473" spans="1:1">
      <c r="A473" t="s">
        <v>358</v>
      </c>
    </row>
    <row r="474" spans="1:1">
      <c r="A474" t="s">
        <v>359</v>
      </c>
    </row>
    <row r="475" spans="1:1">
      <c r="A475" t="s">
        <v>360</v>
      </c>
    </row>
    <row r="476" spans="1:1">
      <c r="A476" t="s">
        <v>361</v>
      </c>
    </row>
    <row r="477" spans="1:1">
      <c r="A477" t="s">
        <v>52</v>
      </c>
    </row>
    <row r="478" spans="1:1">
      <c r="A478" t="s">
        <v>53</v>
      </c>
    </row>
    <row r="479" spans="1:1">
      <c r="A479" t="s">
        <v>362</v>
      </c>
    </row>
    <row r="480" spans="1:1">
      <c r="A480" t="s">
        <v>363</v>
      </c>
    </row>
    <row r="481" spans="1:1">
      <c r="A481" t="s">
        <v>364</v>
      </c>
    </row>
    <row r="482" spans="1:1">
      <c r="A482" t="s">
        <v>54</v>
      </c>
    </row>
    <row r="483" spans="1:1">
      <c r="A483" t="s">
        <v>365</v>
      </c>
    </row>
    <row r="484" spans="1:1">
      <c r="A484" t="s">
        <v>366</v>
      </c>
    </row>
    <row r="485" spans="1:1">
      <c r="A485" t="s">
        <v>52</v>
      </c>
    </row>
    <row r="486" spans="1:1">
      <c r="A486" t="s">
        <v>367</v>
      </c>
    </row>
    <row r="487" spans="1:1">
      <c r="A487" t="s">
        <v>368</v>
      </c>
    </row>
    <row r="488" spans="1:1">
      <c r="A488" t="s">
        <v>369</v>
      </c>
    </row>
    <row r="489" spans="1:1">
      <c r="A489" t="s">
        <v>54</v>
      </c>
    </row>
    <row r="490" spans="1:1">
      <c r="A490" t="s">
        <v>370</v>
      </c>
    </row>
    <row r="491" spans="1:1">
      <c r="A491" t="s">
        <v>371</v>
      </c>
    </row>
    <row r="492" spans="1:1">
      <c r="A492" t="s">
        <v>372</v>
      </c>
    </row>
    <row r="493" spans="1:1">
      <c r="A493" t="s">
        <v>373</v>
      </c>
    </row>
    <row r="494" spans="1:1">
      <c r="A494" t="s">
        <v>374</v>
      </c>
    </row>
    <row r="495" spans="1:1">
      <c r="A495" t="s">
        <v>375</v>
      </c>
    </row>
    <row r="496" spans="1:1">
      <c r="A496" t="s">
        <v>376</v>
      </c>
    </row>
    <row r="497" spans="1:1">
      <c r="A497" t="s">
        <v>377</v>
      </c>
    </row>
    <row r="498" spans="1:1">
      <c r="A498" t="s">
        <v>52</v>
      </c>
    </row>
    <row r="499" spans="1:1">
      <c r="A499" t="s">
        <v>378</v>
      </c>
    </row>
    <row r="500" spans="1:1">
      <c r="A500" t="s">
        <v>53</v>
      </c>
    </row>
    <row r="501" spans="1:1">
      <c r="A501" t="s">
        <v>54</v>
      </c>
    </row>
    <row r="502" spans="1:1">
      <c r="A502" t="s">
        <v>379</v>
      </c>
    </row>
    <row r="503" spans="1:1">
      <c r="A503" t="s">
        <v>380</v>
      </c>
    </row>
    <row r="504" spans="1:1">
      <c r="A504" t="s">
        <v>381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/>
  <sheetData>
    <row r="1" spans="1:2">
      <c r="A1" t="s">
        <v>157</v>
      </c>
      <c r="B1" t="s">
        <v>107</v>
      </c>
    </row>
    <row r="2" spans="1:2">
      <c r="A2">
        <v>1</v>
      </c>
      <c r="B2" t="s">
        <v>109</v>
      </c>
    </row>
    <row r="3" spans="1:2">
      <c r="A3">
        <v>2</v>
      </c>
      <c r="B3" t="s">
        <v>108</v>
      </c>
    </row>
    <row r="4" spans="1:2">
      <c r="A4">
        <v>3</v>
      </c>
      <c r="B4" t="s">
        <v>114</v>
      </c>
    </row>
    <row r="5" spans="1:2">
      <c r="A5">
        <v>4</v>
      </c>
      <c r="B5" t="s">
        <v>113</v>
      </c>
    </row>
    <row r="6" spans="1:2">
      <c r="A6">
        <v>5</v>
      </c>
      <c r="B6" t="s">
        <v>112</v>
      </c>
    </row>
    <row r="7" spans="1:2">
      <c r="A7">
        <v>6</v>
      </c>
      <c r="B7" t="s">
        <v>111</v>
      </c>
    </row>
    <row r="8" spans="1:2">
      <c r="A8">
        <v>7</v>
      </c>
      <c r="B8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2020-09-04T19:14:54Z</dcterms:modified>
  <cp:category/>
</cp:coreProperties>
</file>